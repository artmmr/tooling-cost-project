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xr:revisionPtr revIDLastSave="0" documentId="8_{63FD8F62-5E11-654C-AE6A-95A3F5AB42E0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Process &amp; Tool Matrix" sheetId="1" r:id="rId1"/>
    <sheet name="Tool Grade Index Split" sheetId="2" r:id="rId2"/>
    <sheet name="Index Sources" sheetId="3" r:id="rId3"/>
  </sheets>
  <calcPr calcId="0"/>
</workbook>
</file>

<file path=xl/calcChain.xml><?xml version="1.0" encoding="utf-8"?>
<calcChain xmlns="http://schemas.openxmlformats.org/spreadsheetml/2006/main">
  <c r="K14" i="2" l="1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<sst xmlns="http://schemas.openxmlformats.org/spreadsheetml/2006/main" count="310" uniqueCount="248">
  <si>
    <t>Part material</t>
  </si>
  <si>
    <t>Form / family</t>
  </si>
  <si>
    <t>1–20 pcs</t>
  </si>
  <si>
    <t>21–100 pcs</t>
  </si>
  <si>
    <t>101–1,000 pcs</t>
  </si>
  <si>
    <t>1,001–10,000 pcs</t>
  </si>
  <si>
    <t>10,001–100,000 pcs</t>
  </si>
  <si>
    <t>&gt;100,000 pcs</t>
  </si>
  <si>
    <t>Comments / criteria</t>
  </si>
  <si>
    <t>Carbon steel</t>
  </si>
  <si>
    <t>Sheet metal</t>
  </si>
  <si>
    <t>Laser cutting + bending | no hard tooling / jig</t>
  </si>
  <si>
    <t>Laser cutting + bending | mild-steel jig</t>
  </si>
  <si>
    <t>Laser cutting + bending / soft tool | C45</t>
  </si>
  <si>
    <t>Simple stamping | D2 / 1.2379 locally</t>
  </si>
  <si>
    <t>Progressive stamping | hardened D2 / 1.2379</t>
  </si>
  <si>
    <t>Progressive stamping | PM tool steel / local carbide</t>
  </si>
  <si>
    <t>Tool hardness increases with production rate, thickness and sheet strength.</t>
  </si>
  <si>
    <t>Solid</t>
  </si>
  <si>
    <t>CNC / metal 3D printing | no dedicated tooling</t>
  </si>
  <si>
    <t>CNC | no dedicated tooling</t>
  </si>
  <si>
    <t>CNC | C45 fixtures</t>
  </si>
  <si>
    <t>CNC / forging | H11/H13</t>
  </si>
  <si>
    <t>Forging | hardened H13</t>
  </si>
  <si>
    <t>High-volume forging | premium H13 / PM inserts</t>
  </si>
  <si>
    <t>Forging becomes preferable when tooling cost can be amortized over the volume.</t>
  </si>
  <si>
    <t>Stainless steel</t>
  </si>
  <si>
    <t>Laser cutting + bending | no hard tooling</t>
  </si>
  <si>
    <t>Laser cutting + bending | C45</t>
  </si>
  <si>
    <t>Laser / soft tool | local D2</t>
  </si>
  <si>
    <t>Stamping | hardened D2</t>
  </si>
  <si>
    <t>Progressive stamping | D2 / PM tool steel</t>
  </si>
  <si>
    <t>Progressive stamping | PM tool steel / carbide</t>
  </si>
  <si>
    <t>Stainless is more abrasive: higher hardness and wear resistance are required.</t>
  </si>
  <si>
    <t>CNC | steel fixtures</t>
  </si>
  <si>
    <t>CNC / investment casting | H13 for permanent mold</t>
  </si>
  <si>
    <t>Forging / casting | H13</t>
  </si>
  <si>
    <t>Choose machining, casting or forging according to geometry and required properties.</t>
  </si>
  <si>
    <t>Aluminium</t>
  </si>
  <si>
    <t>Complex part</t>
  </si>
  <si>
    <t>CNC / prototype mold | Aluminium 7075</t>
  </si>
  <si>
    <t>Gravity casting / low-pressure casting | H13 or mold steel</t>
  </si>
  <si>
    <t>HPDC | H13 / 1.2344</t>
  </si>
  <si>
    <t>High-volume HPDC | premium H13 / ESR</t>
  </si>
  <si>
    <t>For medium to high volumes, die casting becomes very competitive.</t>
  </si>
  <si>
    <t>Profile</t>
  </si>
  <si>
    <t>CNC / small-batch extrusion | H13</t>
  </si>
  <si>
    <t>Extrusion | H13</t>
  </si>
  <si>
    <t>Extrusion | hardened H13</t>
  </si>
  <si>
    <t>High-volume extrusion | premium H13</t>
  </si>
  <si>
    <t>Extrusion for constant cross-sections; otherwise CNC/casting.</t>
  </si>
  <si>
    <t>Magnesium</t>
  </si>
  <si>
    <t>CNC / prototype casting | Aluminium 7075</t>
  </si>
  <si>
    <t>Casting | H13</t>
  </si>
  <si>
    <t>Highly suitable for HPDC once volumes become significant.</t>
  </si>
  <si>
    <t>Copper</t>
  </si>
  <si>
    <t>Laser / CNC | no dedicated tooling</t>
  </si>
  <si>
    <t>Laser / CNC | C45</t>
  </si>
  <si>
    <t>Cutting / soft tool | local D2</t>
  </si>
  <si>
    <t>Stamping | D2</t>
  </si>
  <si>
    <t>Progressive stamping | hardened D2</t>
  </si>
  <si>
    <t>Copper is soft but adhesive; pay attention to galling and wear.</t>
  </si>
  <si>
    <t>Forging | H13</t>
  </si>
  <si>
    <t>High-volume forging | premium H13</t>
  </si>
  <si>
    <t>Forging when geometry and mechanical properties allow it.</t>
  </si>
  <si>
    <t>Silver</t>
  </si>
  <si>
    <t>Part / jewelry / contact</t>
  </si>
  <si>
    <t>Metal 3D printing / CNC / lost wax | no tooling</t>
  </si>
  <si>
    <t>Lost wax / CNC | no tooling</t>
  </si>
  <si>
    <t>Casting / stamping | local D2</t>
  </si>
  <si>
    <t>High-volume stamping | PM tool steel</t>
  </si>
  <si>
    <t>Expensive metal: prioritize processes that minimize material loss.</t>
  </si>
  <si>
    <t>Gold</t>
  </si>
  <si>
    <t>Expensive metal: material yield and scrap recovery are priorities.</t>
  </si>
  <si>
    <t>PP / PE</t>
  </si>
  <si>
    <t>Thermoplastic</t>
  </si>
  <si>
    <t>3D prototype / CNC | printed or Al mold</t>
  </si>
  <si>
    <t>3D / CNC | Aluminium 7075</t>
  </si>
  <si>
    <t>Prototype mold | Aluminium 7075 / P20</t>
  </si>
  <si>
    <t>Injection molding | P20 / 1.2311</t>
  </si>
  <si>
    <t>Injection molding | 1.2738 / 1.2083 depending on requirements</t>
  </si>
  <si>
    <t>High-volume injection | hardened 1.2083 / H13 inserts</t>
  </si>
  <si>
    <t>Volume, fillers and texture determine final tooling hardness.</t>
  </si>
  <si>
    <t>ABS</t>
  </si>
  <si>
    <t>FDM/MJF/SLS | no mold</t>
  </si>
  <si>
    <t>MJF/SLS | no mold</t>
  </si>
  <si>
    <t>MJF/SLS or soft mold | Aluminium 7075 / P20</t>
  </si>
  <si>
    <t>Injection molding | 1.2738</t>
  </si>
  <si>
    <t>High-volume injection | 1.2083 / H13 inserts</t>
  </si>
  <si>
    <t>3D printing is highly relevant for low volumes before mold amortization.</t>
  </si>
  <si>
    <t>PA / Nylon</t>
  </si>
  <si>
    <t>SLS/MJF | no mold</t>
  </si>
  <si>
    <t>SLS/MJF or injection | P20</t>
  </si>
  <si>
    <t>Injection molding | 1.2738 / H13 if filled</t>
  </si>
  <si>
    <t>High-volume injection | H13 / PM inserts if glass-filled</t>
  </si>
  <si>
    <t>Glass-filled PA is highly abrasive and may require hard tooling.</t>
  </si>
  <si>
    <t>POM</t>
  </si>
  <si>
    <t>CNC | no mold</t>
  </si>
  <si>
    <t>CNC / soft mold | Aluminium 7075 / P20</t>
  </si>
  <si>
    <t>Injection molding | P20</t>
  </si>
  <si>
    <t>High-volume injection | hardened 1.2083</t>
  </si>
  <si>
    <t>Good machinability at low volume; injection molding for series production.</t>
  </si>
  <si>
    <t>PC</t>
  </si>
  <si>
    <t>3D / CNC | no mold</t>
  </si>
  <si>
    <t>Injection molding | 1.2738 / 1.2083</t>
  </si>
  <si>
    <t>Polishing and surface-quality requirements may justify more premium steels.</t>
  </si>
  <si>
    <t>PVC</t>
  </si>
  <si>
    <t>Corrosive thermoplastic</t>
  </si>
  <si>
    <t>CNC / 3D prototype | no mold</t>
  </si>
  <si>
    <t>Soft mold | 1.2083 / 420</t>
  </si>
  <si>
    <t>Injection molding / extrusion | 1.2083</t>
  </si>
  <si>
    <t>Injection molding / extrusion | hardened 1.2083</t>
  </si>
  <si>
    <t>High volume | 1.2083 ESR / stainless mold steel</t>
  </si>
  <si>
    <t>PVC can be corrosive: favor corrosion-resistant mold steel.</t>
  </si>
  <si>
    <t>EPDM</t>
  </si>
  <si>
    <t>Elastomer</t>
  </si>
  <si>
    <t>3D mold + casting | resin/Al</t>
  </si>
  <si>
    <t>Prototype mold | Aluminium 7075</t>
  </si>
  <si>
    <t>Compression molding | P20</t>
  </si>
  <si>
    <t>Compression / injection | P20 / 1.2311</t>
  </si>
  <si>
    <t>Injection/compression | 1.2738</t>
  </si>
  <si>
    <t>High volume | 1.2083 / H13 depending on temperature</t>
  </si>
  <si>
    <t>Tooling evolves toward hardened steel as cycle count and temperature increase.</t>
  </si>
  <si>
    <t>Silicone / LSR</t>
  </si>
  <si>
    <t>Compression / prototype LSR | P20</t>
  </si>
  <si>
    <t>LSR injection | P20 / 1.2311</t>
  </si>
  <si>
    <t>LSR injection | 1.2083</t>
  </si>
  <si>
    <t>High-volume LSR | hardened 1.2083 / ESR</t>
  </si>
  <si>
    <t>Surface finish, precision and service life determine the grade.</t>
  </si>
  <si>
    <t>PU / Epoxy resin</t>
  </si>
  <si>
    <t>Thermoset</t>
  </si>
  <si>
    <t>3D mold / casting | tooling resin</t>
  </si>
  <si>
    <t>Casting | tooling resin / Al</t>
  </si>
  <si>
    <t>Casting | Aluminium 7075</t>
  </si>
  <si>
    <t>RTM / compression | Aluminium 7075 / P20</t>
  </si>
  <si>
    <t>Compression / RTM | P20 / 1.2311</t>
  </si>
  <si>
    <t>High volume | 1.2738 / 1.2083</t>
  </si>
  <si>
    <t>Aluminium is economical up to intermediate production volumes.</t>
  </si>
  <si>
    <t>Zinc</t>
  </si>
  <si>
    <t>Die casting</t>
  </si>
  <si>
    <t>CNC / metal 3D printing | no tooling</t>
  </si>
  <si>
    <t>CNC | no tooling</t>
  </si>
  <si>
    <t>Die casting | H13</t>
  </si>
  <si>
    <t>HPDC | H13</t>
  </si>
  <si>
    <t>Highly suitable for small complex parts at high production rates.</t>
  </si>
  <si>
    <t>Titanium</t>
  </si>
  <si>
    <t>CNC / forging | H13</t>
  </si>
  <si>
    <t>Forging | premium H13</t>
  </si>
  <si>
    <t>High material cost; near-net-shape manufacturing can be decisive.</t>
  </si>
  <si>
    <t>Brass</t>
  </si>
  <si>
    <t>Sheet / solid</t>
  </si>
  <si>
    <t>CNC / cutting | no tooling</t>
  </si>
  <si>
    <t>CNC | C45</t>
  </si>
  <si>
    <t>CNC / stamping | local D2</t>
  </si>
  <si>
    <t>Stamping / forging | D2 / H13</t>
  </si>
  <si>
    <t>High volume | PM tool steel / H13 depending on process</t>
  </si>
  <si>
    <t>Use D2 for cold work and H13 for hot forging.</t>
  </si>
  <si>
    <t>Tool grade / family</t>
  </si>
  <si>
    <t>Typical use</t>
  </si>
  <si>
    <t>Indicative hardness / treatment</t>
  </si>
  <si>
    <t>Steel / Fe index %</t>
  </si>
  <si>
    <t>Aluminium index %</t>
  </si>
  <si>
    <t>Copper index %</t>
  </si>
  <si>
    <t>Nickel index %</t>
  </si>
  <si>
    <t>Molybdenum index %</t>
  </si>
  <si>
    <t>Tungsten index %</t>
  </si>
  <si>
    <t>Other alloying index %</t>
  </si>
  <si>
    <t>TOTAL %</t>
  </si>
  <si>
    <t>Costing note</t>
  </si>
  <si>
    <t>Tooling resin</t>
  </si>
  <si>
    <t>Prototype mold, very low-volume casting</t>
  </si>
  <si>
    <t>No heat treatment</t>
  </si>
  <si>
    <t>No direct metal index; link instead to resin/energy indices.</t>
  </si>
  <si>
    <t>Aluminium 7075</t>
  </si>
  <si>
    <t>Prototype mold / soft tooling</t>
  </si>
  <si>
    <t>Typical T6</t>
  </si>
  <si>
    <t>Al dominant; Zn/Mg/Cr included in Other.</t>
  </si>
  <si>
    <t>C45 / mild steel</t>
  </si>
  <si>
    <t>Jigs, plates, soft tooling</t>
  </si>
  <si>
    <t>Normalized / local hardening possible</t>
  </si>
  <si>
    <t>Proxy overwhelmingly driven by Steel.</t>
  </si>
  <si>
    <t>P20 / 1.2311</t>
  </si>
  <si>
    <t>Medium-series plastic molds</t>
  </si>
  <si>
    <t>Pre-hardened ~28–34 HRC</t>
  </si>
  <si>
    <t>Cr/Mn/Si/C included in Other; Mo tracked separately.</t>
  </si>
  <si>
    <t>1.2738 / P20 + Ni</t>
  </si>
  <si>
    <t>Medium/high-series plastic molds</t>
  </si>
  <si>
    <t>Pre-hardened ~30–38 HRC</t>
  </si>
  <si>
    <t>Ni tracked separately; other alloying elements included in Other.</t>
  </si>
  <si>
    <t>1.2083 / 420</t>
  </si>
  <si>
    <t>Corrosive-service / long-life plastic molds</t>
  </si>
  <si>
    <t>Hardened ~48–54 HRC</t>
  </si>
  <si>
    <t>High chromium content included in Other because no dedicated Cr index is used.</t>
  </si>
  <si>
    <t>H11 / 1.2343</t>
  </si>
  <si>
    <t>Forging / die casting / extrusion</t>
  </si>
  <si>
    <t>Hardened ~44–52 HRC</t>
  </si>
  <si>
    <t>Cr/V/Si/C included in Other; Mo tracked separately.</t>
  </si>
  <si>
    <t>H13 / 1.2344</t>
  </si>
  <si>
    <t>Die casting, extrusion, forging, inserts</t>
  </si>
  <si>
    <t>Hardened ~44–54 HRC</t>
  </si>
  <si>
    <t>D2 / 1.2379</t>
  </si>
  <si>
    <t>Cutting, stamping, punches/dies</t>
  </si>
  <si>
    <t>Hardened ~56–62 HRC</t>
  </si>
  <si>
    <t>High Cr (~12%) plus V/C included in Other.</t>
  </si>
  <si>
    <t>PM Tool Steel</t>
  </si>
  <si>
    <t>Very high volume / severe abrasion</t>
  </si>
  <si>
    <t>Hardened ~58–64 HRC</t>
  </si>
  <si>
    <t>Generic PM proxy; replace with the exact grade when known.</t>
  </si>
  <si>
    <t>WC-Co Carbide</t>
  </si>
  <si>
    <t>Extreme-wear inserts / very high volume</t>
  </si>
  <si>
    <t>Sintered carbide</t>
  </si>
  <si>
    <t>W index dominates; cobalt included in Other.</t>
  </si>
  <si>
    <t>Premium H13 / ESR</t>
  </si>
  <si>
    <t>Very high-volume HPDC/forging</t>
  </si>
  <si>
    <t>Hardened + ESR / premium quality</t>
  </si>
  <si>
    <t>Same base chemistry as H13; premium mainly comes from process/quality.</t>
  </si>
  <si>
    <t>1.2083 ESR</t>
  </si>
  <si>
    <t>High-volume plastic / corrosive / optical</t>
  </si>
  <si>
    <t>Hardened + ESR</t>
  </si>
  <si>
    <t>Same chemistry logic as 1.2083; premium cost is not captured by raw-material indices alone.</t>
  </si>
  <si>
    <t>Index</t>
  </si>
  <si>
    <t>Initial basket weight</t>
  </si>
  <si>
    <t>Source 1</t>
  </si>
  <si>
    <t>Source 2</t>
  </si>
  <si>
    <t>Source 3</t>
  </si>
  <si>
    <t>Steel / HRC</t>
  </si>
  <si>
    <t>https://www.lme.com/en/metals/ferrous/lme-steel-hrc-nw-europe-argus</t>
  </si>
  <si>
    <t>https://tradingeconomics.com/commodity/steel</t>
  </si>
  <si>
    <t>https://www.barchart.com/futures/quotes/E-G26/price-history</t>
  </si>
  <si>
    <t>https://www.lme.com/en/metals/non-ferrous/lme-aluminium</t>
  </si>
  <si>
    <t>https://tradingeconomics.com/commodity/aluminum</t>
  </si>
  <si>
    <t>https://www.investing.com/commodities/aluminum-historical-data</t>
  </si>
  <si>
    <t>https://www.lme.com/en/metals/non-ferrous/lme-copper</t>
  </si>
  <si>
    <t>https://tradingeconomics.com/commodity/copper</t>
  </si>
  <si>
    <t>https://www.macrotrends.net/1476/copper-prices-historical-chart-data</t>
  </si>
  <si>
    <t>Nickel</t>
  </si>
  <si>
    <t>https://www.lme.com/en/metals/non-ferrous/lme-nickel</t>
  </si>
  <si>
    <t>https://tradingeconomics.com/commodity/nickel</t>
  </si>
  <si>
    <t>https://www.barchart.com/futures/metals</t>
  </si>
  <si>
    <t>Molybdenum</t>
  </si>
  <si>
    <t>https://data.metal.com/item/molybdenum/price/price</t>
  </si>
  <si>
    <t>https://tradingeconomics.com/commodity/molybden</t>
  </si>
  <si>
    <t>https://www.lme.com/market-data/reports-and-data/historical-data-for-cash-settled-futures</t>
  </si>
  <si>
    <t>Tungsten</t>
  </si>
  <si>
    <t>https://data.metal.com/item/tungsten</t>
  </si>
  <si>
    <t>https://data.metal.com/dataapi/tungsten/w_1_tungsten_bar</t>
  </si>
  <si>
    <t>https://tradingeconomics.com/commodities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</si>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</sst>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AFC"/>
      </patternFill>
    </fill>
    <fill>
      <patternFill patternType="solid">
        <fgColor rgb="FF385723"/>
      </patternFill>
    </fill>
    <fill>
      <patternFill patternType="solid">
        <fgColor rgb="FF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3" borderId="0" xfId="0" applyNumberFormat="1" applyFont="1" applyFill="1" applyBorder="1" applyAlignment="1">
      <alignment wrapText="1"/>
    </xf>
    <xf numFmtId="0" fontId="1" fillId="4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wrapText="1"/>
    </xf>
    <xf numFmtId="0" fontId="1" fillId="5" borderId="0" xfId="0" applyNumberFormat="1" applyFont="1" applyFill="1" applyBorder="1" applyAlignment="1">
      <alignment horizontal="center" wrapText="1"/>
    </xf>
    <xf numFmtId="9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1">
    <dxf>
      <font>
        <b/>
        <color rgb="FF991B1B"/>
      </font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cessToolMatrix" displayName="ProcessToolMatrix" ref="A1:I24" totalsRowShown="0">
  <tableColumns count="9">
    <tableColumn id="1" xr3:uid="{00000000-0010-0000-0000-000001000000}" name="Matière pièce"/>
    <tableColumn id="2" xr3:uid="{00000000-0010-0000-0000-000002000000}" name="Forme / famille"/>
    <tableColumn id="3" xr3:uid="{00000000-0010-0000-0000-000003000000}" name="1–20 pcs"/>
    <tableColumn id="4" xr3:uid="{00000000-0010-0000-0000-000004000000}" name="21–100 pcs"/>
    <tableColumn id="5" xr3:uid="{00000000-0010-0000-0000-000005000000}" name="101–1 000 pcs"/>
    <tableColumn id="6" xr3:uid="{00000000-0010-0000-0000-000006000000}" name="1 001–10 000 pcs"/>
    <tableColumn id="7" xr3:uid="{00000000-0010-0000-0000-000007000000}" name="10 001–100 000 pcs"/>
    <tableColumn id="8" xr3:uid="{00000000-0010-0000-0000-000008000000}" name="&gt;100 000 pcs"/>
    <tableColumn id="9" xr3:uid="{00000000-0010-0000-0000-000009000000}" name="Commentaires / critè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olGradeSplit" displayName="ToolGradeSplit" ref="A1:L14" totalsRowShown="0">
  <tableColumns count="12">
    <tableColumn id="1" xr3:uid="{00000000-0010-0000-0100-000001000000}" name="Grade outil / famille"/>
    <tableColumn id="2" xr3:uid="{00000000-0010-0000-0100-000002000000}" name="Usage typique"/>
    <tableColumn id="3" xr3:uid="{00000000-0010-0000-0100-000003000000}" name="Dureté / traitement indicatif"/>
    <tableColumn id="4" xr3:uid="{00000000-0010-0000-0100-000004000000}" name="Steel / Fe index %"/>
    <tableColumn id="5" xr3:uid="{00000000-0010-0000-0100-000005000000}" name="Aluminium index %"/>
    <tableColumn id="6" xr3:uid="{00000000-0010-0000-0100-000006000000}" name="Copper index %"/>
    <tableColumn id="7" xr3:uid="{00000000-0010-0000-0100-000007000000}" name="Nickel index %"/>
    <tableColumn id="8" xr3:uid="{00000000-0010-0000-0100-000008000000}" name="Molybdenum index %"/>
    <tableColumn id="9" xr3:uid="{00000000-0010-0000-0100-000009000000}" name="Tungsten index %"/>
    <tableColumn id="10" xr3:uid="{00000000-0010-0000-0100-00000A000000}" name="Other alloying index %"/>
    <tableColumn id="11" xr3:uid="{00000000-0010-0000-0100-00000B000000}" name="TOTAL %"/>
    <tableColumn id="12" xr3:uid="{00000000-0010-0000-0100-00000C000000}" name="Note cos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dexSources" displayName="IndexSources" ref="A1:E8" totalsRowShown="0">
  <tableColumns count="5">
    <tableColumn id="1" xr3:uid="{00000000-0010-0000-0200-000001000000}" name="Indice"/>
    <tableColumn id="2" xr3:uid="{00000000-0010-0000-0200-000002000000}" name="Poids initial basket"/>
    <tableColumn id="3" xr3:uid="{00000000-0010-0000-0200-000003000000}" name="Source 1"/>
    <tableColumn id="4" xr3:uid="{00000000-0010-0000-0200-000004000000}" name="Source 2"/>
    <tableColumn id="5" xr3:uid="{00000000-0010-0000-0200-000005000000}" name="Source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opLeftCell="I1" zoomScaleNormal="60" zoomScaleSheetLayoutView="100" workbookViewId="0"/>
  </sheetViews>
  <sheetFormatPr defaultRowHeight="15" x14ac:dyDescent="0.2"/>
  <cols>
    <col min="1" max="1" width="18.0234375" customWidth="1"/>
    <col min="2" max="2" width="22.05859375" customWidth="1"/>
    <col min="3" max="4" width="27.98046875" customWidth="1"/>
    <col min="5" max="5" width="29.99609375" customWidth="1"/>
    <col min="6" max="6" width="32.015625" customWidth="1"/>
    <col min="7" max="7" width="34.03125" customWidth="1"/>
    <col min="8" max="8" width="36.05078125" customWidth="1"/>
    <col min="9" max="9" width="41.968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.75" x14ac:dyDescent="0.2">
      <c r="A2" s="2" t="s">
        <v>9</v>
      </c>
      <c r="B2" s="2" t="s">
        <v>10</v>
      </c>
      <c r="C2" s="3" t="s">
        <v>11</v>
      </c>
      <c r="D2" s="2" t="s">
        <v>12</v>
      </c>
      <c r="E2" s="3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  <row r="3" spans="1:9" ht="27.75" x14ac:dyDescent="0.2">
      <c r="A3" s="2" t="s">
        <v>9</v>
      </c>
      <c r="B3" s="2" t="s">
        <v>18</v>
      </c>
      <c r="C3" s="3" t="s">
        <v>19</v>
      </c>
      <c r="D3" s="2" t="s">
        <v>20</v>
      </c>
      <c r="E3" s="3" t="s">
        <v>21</v>
      </c>
      <c r="F3" s="2" t="s">
        <v>22</v>
      </c>
      <c r="G3" s="3" t="s">
        <v>23</v>
      </c>
      <c r="H3" s="2" t="s">
        <v>24</v>
      </c>
      <c r="I3" s="2" t="s">
        <v>25</v>
      </c>
    </row>
    <row r="4" spans="1:9" ht="27.75" x14ac:dyDescent="0.2">
      <c r="A4" s="2" t="s">
        <v>26</v>
      </c>
      <c r="B4" s="2" t="s">
        <v>10</v>
      </c>
      <c r="C4" s="3" t="s">
        <v>27</v>
      </c>
      <c r="D4" s="2" t="s">
        <v>28</v>
      </c>
      <c r="E4" s="3" t="s">
        <v>29</v>
      </c>
      <c r="F4" s="2" t="s">
        <v>30</v>
      </c>
      <c r="G4" s="3" t="s">
        <v>31</v>
      </c>
      <c r="H4" s="2" t="s">
        <v>32</v>
      </c>
      <c r="I4" s="2" t="s">
        <v>33</v>
      </c>
    </row>
    <row r="5" spans="1:9" ht="27.75" x14ac:dyDescent="0.2">
      <c r="A5" s="2" t="s">
        <v>26</v>
      </c>
      <c r="B5" s="2" t="s">
        <v>18</v>
      </c>
      <c r="C5" s="3" t="s">
        <v>19</v>
      </c>
      <c r="D5" s="2" t="s">
        <v>20</v>
      </c>
      <c r="E5" s="3" t="s">
        <v>34</v>
      </c>
      <c r="F5" s="2" t="s">
        <v>35</v>
      </c>
      <c r="G5" s="3" t="s">
        <v>36</v>
      </c>
      <c r="H5" s="2" t="s">
        <v>24</v>
      </c>
      <c r="I5" s="2" t="s">
        <v>37</v>
      </c>
    </row>
    <row r="6" spans="1:9" ht="27.75" x14ac:dyDescent="0.2">
      <c r="A6" s="2" t="s">
        <v>38</v>
      </c>
      <c r="B6" s="2" t="s">
        <v>39</v>
      </c>
      <c r="C6" s="3" t="s">
        <v>19</v>
      </c>
      <c r="D6" s="2" t="s">
        <v>19</v>
      </c>
      <c r="E6" s="3" t="s">
        <v>40</v>
      </c>
      <c r="F6" s="2" t="s">
        <v>41</v>
      </c>
      <c r="G6" s="3" t="s">
        <v>42</v>
      </c>
      <c r="H6" s="2" t="s">
        <v>43</v>
      </c>
      <c r="I6" s="2" t="s">
        <v>44</v>
      </c>
    </row>
    <row r="7" spans="1:9" ht="27.75" x14ac:dyDescent="0.2">
      <c r="A7" s="2" t="s">
        <v>38</v>
      </c>
      <c r="B7" s="2" t="s">
        <v>45</v>
      </c>
      <c r="C7" s="3" t="s">
        <v>20</v>
      </c>
      <c r="D7" s="2" t="s">
        <v>20</v>
      </c>
      <c r="E7" s="3" t="s">
        <v>46</v>
      </c>
      <c r="F7" s="2" t="s">
        <v>47</v>
      </c>
      <c r="G7" s="3" t="s">
        <v>48</v>
      </c>
      <c r="H7" s="2" t="s">
        <v>49</v>
      </c>
      <c r="I7" s="2" t="s">
        <v>50</v>
      </c>
    </row>
    <row r="8" spans="1:9" ht="27.75" x14ac:dyDescent="0.2">
      <c r="A8" s="2" t="s">
        <v>51</v>
      </c>
      <c r="B8" s="2" t="s">
        <v>39</v>
      </c>
      <c r="C8" s="3" t="s">
        <v>19</v>
      </c>
      <c r="D8" s="2" t="s">
        <v>20</v>
      </c>
      <c r="E8" s="3" t="s">
        <v>52</v>
      </c>
      <c r="F8" s="2" t="s">
        <v>53</v>
      </c>
      <c r="G8" s="3" t="s">
        <v>42</v>
      </c>
      <c r="H8" s="2" t="s">
        <v>43</v>
      </c>
      <c r="I8" s="2" t="s">
        <v>54</v>
      </c>
    </row>
    <row r="9" spans="1:9" ht="27.75" x14ac:dyDescent="0.2">
      <c r="A9" s="2" t="s">
        <v>55</v>
      </c>
      <c r="B9" s="2" t="s">
        <v>10</v>
      </c>
      <c r="C9" s="3" t="s">
        <v>56</v>
      </c>
      <c r="D9" s="2" t="s">
        <v>57</v>
      </c>
      <c r="E9" s="3" t="s">
        <v>58</v>
      </c>
      <c r="F9" s="2" t="s">
        <v>59</v>
      </c>
      <c r="G9" s="3" t="s">
        <v>60</v>
      </c>
      <c r="H9" s="2" t="s">
        <v>31</v>
      </c>
      <c r="I9" s="2" t="s">
        <v>61</v>
      </c>
    </row>
    <row r="10" spans="1:9" ht="27.75" x14ac:dyDescent="0.2">
      <c r="A10" s="2" t="s">
        <v>55</v>
      </c>
      <c r="B10" s="2" t="s">
        <v>18</v>
      </c>
      <c r="C10" s="3" t="s">
        <v>19</v>
      </c>
      <c r="D10" s="2" t="s">
        <v>20</v>
      </c>
      <c r="E10" s="3" t="s">
        <v>34</v>
      </c>
      <c r="F10" s="2" t="s">
        <v>62</v>
      </c>
      <c r="G10" s="3" t="s">
        <v>23</v>
      </c>
      <c r="H10" s="2" t="s">
        <v>63</v>
      </c>
      <c r="I10" s="2" t="s">
        <v>64</v>
      </c>
    </row>
    <row r="11" spans="1:9" ht="27.75" x14ac:dyDescent="0.2">
      <c r="A11" s="2" t="s">
        <v>65</v>
      </c>
      <c r="B11" s="2" t="s">
        <v>66</v>
      </c>
      <c r="C11" s="3" t="s">
        <v>67</v>
      </c>
      <c r="D11" s="2" t="s">
        <v>68</v>
      </c>
      <c r="E11" s="3" t="s">
        <v>69</v>
      </c>
      <c r="F11" s="2" t="s">
        <v>59</v>
      </c>
      <c r="G11" s="3" t="s">
        <v>30</v>
      </c>
      <c r="H11" s="2" t="s">
        <v>70</v>
      </c>
      <c r="I11" s="2" t="s">
        <v>71</v>
      </c>
    </row>
    <row r="12" spans="1:9" ht="27.75" x14ac:dyDescent="0.2">
      <c r="A12" s="2" t="s">
        <v>72</v>
      </c>
      <c r="B12" s="2" t="s">
        <v>66</v>
      </c>
      <c r="C12" s="3" t="s">
        <v>67</v>
      </c>
      <c r="D12" s="2" t="s">
        <v>68</v>
      </c>
      <c r="E12" s="3" t="s">
        <v>69</v>
      </c>
      <c r="F12" s="2" t="s">
        <v>59</v>
      </c>
      <c r="G12" s="3" t="s">
        <v>30</v>
      </c>
      <c r="H12" s="2" t="s">
        <v>70</v>
      </c>
      <c r="I12" s="2" t="s">
        <v>73</v>
      </c>
    </row>
    <row r="13" spans="1:9" ht="27.75" x14ac:dyDescent="0.2">
      <c r="A13" s="2" t="s">
        <v>74</v>
      </c>
      <c r="B13" s="2" t="s">
        <v>75</v>
      </c>
      <c r="C13" s="3" t="s">
        <v>76</v>
      </c>
      <c r="D13" s="2" t="s">
        <v>77</v>
      </c>
      <c r="E13" s="3" t="s">
        <v>78</v>
      </c>
      <c r="F13" s="2" t="s">
        <v>79</v>
      </c>
      <c r="G13" s="3" t="s">
        <v>80</v>
      </c>
      <c r="H13" s="2" t="s">
        <v>81</v>
      </c>
      <c r="I13" s="2" t="s">
        <v>82</v>
      </c>
    </row>
    <row r="14" spans="1:9" ht="27.75" x14ac:dyDescent="0.2">
      <c r="A14" s="2" t="s">
        <v>83</v>
      </c>
      <c r="B14" s="2" t="s">
        <v>75</v>
      </c>
      <c r="C14" s="3" t="s">
        <v>84</v>
      </c>
      <c r="D14" s="2" t="s">
        <v>85</v>
      </c>
      <c r="E14" s="3" t="s">
        <v>86</v>
      </c>
      <c r="F14" s="2" t="s">
        <v>79</v>
      </c>
      <c r="G14" s="3" t="s">
        <v>87</v>
      </c>
      <c r="H14" s="2" t="s">
        <v>88</v>
      </c>
      <c r="I14" s="2" t="s">
        <v>89</v>
      </c>
    </row>
    <row r="15" spans="1:9" ht="27.75" x14ac:dyDescent="0.2">
      <c r="A15" s="2" t="s">
        <v>90</v>
      </c>
      <c r="B15" s="2" t="s">
        <v>75</v>
      </c>
      <c r="C15" s="3" t="s">
        <v>91</v>
      </c>
      <c r="D15" s="2" t="s">
        <v>91</v>
      </c>
      <c r="E15" s="3" t="s">
        <v>92</v>
      </c>
      <c r="F15" s="2" t="s">
        <v>79</v>
      </c>
      <c r="G15" s="3" t="s">
        <v>93</v>
      </c>
      <c r="H15" s="2" t="s">
        <v>94</v>
      </c>
      <c r="I15" s="2" t="s">
        <v>95</v>
      </c>
    </row>
    <row r="16" spans="1:9" ht="27.75" x14ac:dyDescent="0.2">
      <c r="A16" s="2" t="s">
        <v>96</v>
      </c>
      <c r="B16" s="2" t="s">
        <v>75</v>
      </c>
      <c r="C16" s="3" t="s">
        <v>97</v>
      </c>
      <c r="D16" s="2" t="s">
        <v>97</v>
      </c>
      <c r="E16" s="3" t="s">
        <v>98</v>
      </c>
      <c r="F16" s="2" t="s">
        <v>99</v>
      </c>
      <c r="G16" s="3" t="s">
        <v>87</v>
      </c>
      <c r="H16" s="2" t="s">
        <v>100</v>
      </c>
      <c r="I16" s="2" t="s">
        <v>101</v>
      </c>
    </row>
    <row r="17" spans="1:9" ht="27.75" x14ac:dyDescent="0.2">
      <c r="A17" s="2" t="s">
        <v>102</v>
      </c>
      <c r="B17" s="2" t="s">
        <v>75</v>
      </c>
      <c r="C17" s="3" t="s">
        <v>103</v>
      </c>
      <c r="D17" s="2" t="s">
        <v>103</v>
      </c>
      <c r="E17" s="3" t="s">
        <v>98</v>
      </c>
      <c r="F17" s="2" t="s">
        <v>99</v>
      </c>
      <c r="G17" s="3" t="s">
        <v>104</v>
      </c>
      <c r="H17" s="2" t="s">
        <v>100</v>
      </c>
      <c r="I17" s="2" t="s">
        <v>105</v>
      </c>
    </row>
    <row r="18" spans="1:9" ht="27.75" x14ac:dyDescent="0.2">
      <c r="A18" s="2" t="s">
        <v>106</v>
      </c>
      <c r="B18" s="2" t="s">
        <v>107</v>
      </c>
      <c r="C18" s="3" t="s">
        <v>108</v>
      </c>
      <c r="D18" s="2" t="s">
        <v>97</v>
      </c>
      <c r="E18" s="3" t="s">
        <v>109</v>
      </c>
      <c r="F18" s="2" t="s">
        <v>110</v>
      </c>
      <c r="G18" s="3" t="s">
        <v>111</v>
      </c>
      <c r="H18" s="2" t="s">
        <v>112</v>
      </c>
      <c r="I18" s="2" t="s">
        <v>113</v>
      </c>
    </row>
    <row r="19" spans="1:9" ht="27.75" x14ac:dyDescent="0.2">
      <c r="A19" s="2" t="s">
        <v>114</v>
      </c>
      <c r="B19" s="2" t="s">
        <v>115</v>
      </c>
      <c r="C19" s="3" t="s">
        <v>116</v>
      </c>
      <c r="D19" s="2" t="s">
        <v>117</v>
      </c>
      <c r="E19" s="3" t="s">
        <v>118</v>
      </c>
      <c r="F19" s="2" t="s">
        <v>119</v>
      </c>
      <c r="G19" s="3" t="s">
        <v>120</v>
      </c>
      <c r="H19" s="2" t="s">
        <v>121</v>
      </c>
      <c r="I19" s="2" t="s">
        <v>122</v>
      </c>
    </row>
    <row r="20" spans="1:9" ht="27.75" x14ac:dyDescent="0.2">
      <c r="A20" s="2" t="s">
        <v>123</v>
      </c>
      <c r="B20" s="2" t="s">
        <v>115</v>
      </c>
      <c r="C20" s="3" t="s">
        <v>116</v>
      </c>
      <c r="D20" s="2" t="s">
        <v>117</v>
      </c>
      <c r="E20" s="3" t="s">
        <v>124</v>
      </c>
      <c r="F20" s="2" t="s">
        <v>125</v>
      </c>
      <c r="G20" s="3" t="s">
        <v>126</v>
      </c>
      <c r="H20" s="2" t="s">
        <v>127</v>
      </c>
      <c r="I20" s="2" t="s">
        <v>128</v>
      </c>
    </row>
    <row r="21" spans="1:9" ht="27.75" x14ac:dyDescent="0.2">
      <c r="A21" s="2" t="s">
        <v>129</v>
      </c>
      <c r="B21" s="2" t="s">
        <v>130</v>
      </c>
      <c r="C21" s="3" t="s">
        <v>131</v>
      </c>
      <c r="D21" s="2" t="s">
        <v>132</v>
      </c>
      <c r="E21" s="3" t="s">
        <v>133</v>
      </c>
      <c r="F21" s="2" t="s">
        <v>134</v>
      </c>
      <c r="G21" s="3" t="s">
        <v>135</v>
      </c>
      <c r="H21" s="2" t="s">
        <v>136</v>
      </c>
      <c r="I21" s="2" t="s">
        <v>137</v>
      </c>
    </row>
    <row r="22" spans="1:9" ht="27.75" x14ac:dyDescent="0.2">
      <c r="A22" s="2" t="s">
        <v>138</v>
      </c>
      <c r="B22" s="2" t="s">
        <v>139</v>
      </c>
      <c r="C22" s="3" t="s">
        <v>140</v>
      </c>
      <c r="D22" s="2" t="s">
        <v>141</v>
      </c>
      <c r="E22" s="3" t="s">
        <v>52</v>
      </c>
      <c r="F22" s="2" t="s">
        <v>142</v>
      </c>
      <c r="G22" s="3" t="s">
        <v>143</v>
      </c>
      <c r="H22" s="2" t="s">
        <v>43</v>
      </c>
      <c r="I22" s="2" t="s">
        <v>144</v>
      </c>
    </row>
    <row r="23" spans="1:9" ht="27.75" x14ac:dyDescent="0.2">
      <c r="A23" s="2" t="s">
        <v>145</v>
      </c>
      <c r="B23" s="2" t="s">
        <v>18</v>
      </c>
      <c r="C23" s="3" t="s">
        <v>140</v>
      </c>
      <c r="D23" s="2" t="s">
        <v>140</v>
      </c>
      <c r="E23" s="3" t="s">
        <v>34</v>
      </c>
      <c r="F23" s="2" t="s">
        <v>146</v>
      </c>
      <c r="G23" s="3" t="s">
        <v>147</v>
      </c>
      <c r="H23" s="2" t="s">
        <v>24</v>
      </c>
      <c r="I23" s="2" t="s">
        <v>148</v>
      </c>
    </row>
    <row r="24" spans="1:9" ht="27.75" x14ac:dyDescent="0.2">
      <c r="A24" s="2" t="s">
        <v>149</v>
      </c>
      <c r="B24" s="2" t="s">
        <v>150</v>
      </c>
      <c r="C24" s="3" t="s">
        <v>151</v>
      </c>
      <c r="D24" s="2" t="s">
        <v>152</v>
      </c>
      <c r="E24" s="3" t="s">
        <v>153</v>
      </c>
      <c r="F24" s="2" t="s">
        <v>154</v>
      </c>
      <c r="G24" s="3" t="s">
        <v>60</v>
      </c>
      <c r="H24" s="2" t="s">
        <v>155</v>
      </c>
      <c r="I24" s="2" t="s">
        <v>156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tabSelected="1" topLeftCell="D1" zoomScaleNormal="60" zoomScaleSheetLayoutView="100" workbookViewId="0"/>
  </sheetViews>
  <sheetFormatPr defaultRowHeight="15" x14ac:dyDescent="0.2"/>
  <cols>
    <col min="1" max="1" width="23.9453125" customWidth="1"/>
    <col min="2" max="2" width="32.015625" customWidth="1"/>
    <col min="3" max="3" width="27.98046875" customWidth="1"/>
    <col min="4" max="7" width="14.9296875" customWidth="1"/>
    <col min="8" max="8" width="16.94921875" customWidth="1"/>
    <col min="9" max="9" width="16.0078125" customWidth="1"/>
    <col min="10" max="10" width="18.0234375" customWidth="1"/>
    <col min="11" max="11" width="11.97265625" customWidth="1"/>
    <col min="12" max="12" width="43.98828125" customWidth="1"/>
  </cols>
  <sheetData>
    <row r="1" spans="1:12" ht="27.75" x14ac:dyDescent="0.2">
      <c r="A1" s="4" t="s">
        <v>157</v>
      </c>
      <c r="B1" s="4" t="s">
        <v>158</v>
      </c>
      <c r="C1" s="4" t="s">
        <v>159</v>
      </c>
      <c r="D1" s="4" t="s">
        <v>160</v>
      </c>
      <c r="E1" s="4" t="s">
        <v>161</v>
      </c>
      <c r="F1" s="4" t="s">
        <v>162</v>
      </c>
      <c r="G1" s="4" t="s">
        <v>163</v>
      </c>
      <c r="H1" s="4" t="s">
        <v>164</v>
      </c>
      <c r="I1" s="4" t="s">
        <v>165</v>
      </c>
      <c r="J1" s="4" t="s">
        <v>166</v>
      </c>
      <c r="K1" s="4" t="s">
        <v>167</v>
      </c>
      <c r="L1" s="4" t="s">
        <v>168</v>
      </c>
    </row>
    <row r="2" spans="1:12" ht="27.75" x14ac:dyDescent="0.2">
      <c r="A2" s="2" t="s">
        <v>169</v>
      </c>
      <c r="B2" s="2" t="s">
        <v>170</v>
      </c>
      <c r="C2" s="2" t="s">
        <v>171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1</v>
      </c>
      <c r="K2" s="5">
        <f>SUM(D2:J2)</f>
        <v>1</v>
      </c>
      <c r="L2" s="2" t="s">
        <v>172</v>
      </c>
    </row>
    <row r="3" spans="1:12" x14ac:dyDescent="0.2">
      <c r="A3" s="2" t="s">
        <v>173</v>
      </c>
      <c r="B3" s="2" t="s">
        <v>174</v>
      </c>
      <c r="C3" s="2" t="s">
        <v>175</v>
      </c>
      <c r="D3" s="5">
        <v>0</v>
      </c>
      <c r="E3" s="5">
        <v>0.9</v>
      </c>
      <c r="F3" s="5">
        <v>1.6E-2</v>
      </c>
      <c r="G3" s="5">
        <v>0</v>
      </c>
      <c r="H3" s="5">
        <v>0</v>
      </c>
      <c r="I3" s="5">
        <v>0</v>
      </c>
      <c r="J3" s="5">
        <v>8.4000000000000005E-2</v>
      </c>
      <c r="K3" s="5">
        <f>SUM(D3:J3)</f>
        <v>1</v>
      </c>
      <c r="L3" s="2" t="s">
        <v>176</v>
      </c>
    </row>
    <row r="4" spans="1:12" ht="27.75" x14ac:dyDescent="0.2">
      <c r="A4" s="2" t="s">
        <v>177</v>
      </c>
      <c r="B4" s="2" t="s">
        <v>178</v>
      </c>
      <c r="C4" s="2" t="s">
        <v>179</v>
      </c>
      <c r="D4" s="5">
        <v>0.98499999999999999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1.4999999999999999E-2</v>
      </c>
      <c r="K4" s="5">
        <f>SUM(D4:J4)</f>
        <v>1</v>
      </c>
      <c r="L4" s="2" t="s">
        <v>180</v>
      </c>
    </row>
    <row r="5" spans="1:12" x14ac:dyDescent="0.2">
      <c r="A5" s="2" t="s">
        <v>181</v>
      </c>
      <c r="B5" s="2" t="s">
        <v>182</v>
      </c>
      <c r="C5" s="2" t="s">
        <v>183</v>
      </c>
      <c r="D5" s="5">
        <v>0.97499999999999998</v>
      </c>
      <c r="E5" s="5">
        <v>0</v>
      </c>
      <c r="F5" s="5">
        <v>0</v>
      </c>
      <c r="G5" s="5">
        <v>0</v>
      </c>
      <c r="H5" s="5">
        <v>2E-3</v>
      </c>
      <c r="I5" s="5">
        <v>0</v>
      </c>
      <c r="J5" s="5">
        <v>2.3E-2</v>
      </c>
      <c r="K5" s="5">
        <f>SUM(D5:J5)</f>
        <v>1</v>
      </c>
      <c r="L5" s="2" t="s">
        <v>184</v>
      </c>
    </row>
    <row r="6" spans="1:12" ht="27.75" x14ac:dyDescent="0.2">
      <c r="A6" s="2" t="s">
        <v>185</v>
      </c>
      <c r="B6" s="2" t="s">
        <v>186</v>
      </c>
      <c r="C6" s="2" t="s">
        <v>187</v>
      </c>
      <c r="D6" s="5">
        <v>0.96499999999999997</v>
      </c>
      <c r="E6" s="5">
        <v>0</v>
      </c>
      <c r="F6" s="5">
        <v>0</v>
      </c>
      <c r="G6" s="5">
        <v>0.01</v>
      </c>
      <c r="H6" s="5">
        <v>2E-3</v>
      </c>
      <c r="I6" s="5">
        <v>0</v>
      </c>
      <c r="J6" s="5">
        <v>2.3E-2</v>
      </c>
      <c r="K6" s="5">
        <f>SUM(D6:J6)</f>
        <v>1</v>
      </c>
      <c r="L6" s="2" t="s">
        <v>188</v>
      </c>
    </row>
    <row r="7" spans="1:12" ht="27.75" x14ac:dyDescent="0.2">
      <c r="A7" s="2" t="s">
        <v>189</v>
      </c>
      <c r="B7" s="2" t="s">
        <v>190</v>
      </c>
      <c r="C7" s="2" t="s">
        <v>191</v>
      </c>
      <c r="D7" s="5">
        <v>0.86499999999999999</v>
      </c>
      <c r="E7" s="5">
        <v>0</v>
      </c>
      <c r="F7" s="5">
        <v>0</v>
      </c>
      <c r="G7" s="5">
        <v>0</v>
      </c>
      <c r="H7" s="5">
        <v>5.0000000000000001E-3</v>
      </c>
      <c r="I7" s="5">
        <v>0</v>
      </c>
      <c r="J7" s="5">
        <v>0.13</v>
      </c>
      <c r="K7" s="5">
        <f>SUM(D7:J7)</f>
        <v>1</v>
      </c>
      <c r="L7" s="2" t="s">
        <v>192</v>
      </c>
    </row>
    <row r="8" spans="1:12" x14ac:dyDescent="0.2">
      <c r="A8" s="2" t="s">
        <v>193</v>
      </c>
      <c r="B8" s="2" t="s">
        <v>194</v>
      </c>
      <c r="C8" s="2" t="s">
        <v>195</v>
      </c>
      <c r="D8" s="5">
        <v>0.93500000000000005</v>
      </c>
      <c r="E8" s="5">
        <v>0</v>
      </c>
      <c r="F8" s="5">
        <v>0</v>
      </c>
      <c r="G8" s="5">
        <v>0</v>
      </c>
      <c r="H8" s="5">
        <v>1.2999999999999999E-2</v>
      </c>
      <c r="I8" s="5">
        <v>0</v>
      </c>
      <c r="J8" s="5">
        <v>5.1999999999999998E-2</v>
      </c>
      <c r="K8" s="5">
        <f>SUM(D8:J8)</f>
        <v>1</v>
      </c>
      <c r="L8" s="2" t="s">
        <v>196</v>
      </c>
    </row>
    <row r="9" spans="1:12" x14ac:dyDescent="0.2">
      <c r="A9" s="2" t="s">
        <v>197</v>
      </c>
      <c r="B9" s="2" t="s">
        <v>198</v>
      </c>
      <c r="C9" s="2" t="s">
        <v>199</v>
      </c>
      <c r="D9" s="5">
        <v>0.93600000000000005</v>
      </c>
      <c r="E9" s="5">
        <v>0</v>
      </c>
      <c r="F9" s="5">
        <v>0</v>
      </c>
      <c r="G9" s="5">
        <v>0</v>
      </c>
      <c r="H9" s="5">
        <v>1.2999999999999999E-2</v>
      </c>
      <c r="I9" s="5">
        <v>0</v>
      </c>
      <c r="J9" s="5">
        <v>5.0999999999999997E-2</v>
      </c>
      <c r="K9" s="5">
        <f>SUM(D9:J9)</f>
        <v>1</v>
      </c>
      <c r="L9" s="2" t="s">
        <v>196</v>
      </c>
    </row>
    <row r="10" spans="1:12" x14ac:dyDescent="0.2">
      <c r="A10" s="2" t="s">
        <v>200</v>
      </c>
      <c r="B10" s="2" t="s">
        <v>201</v>
      </c>
      <c r="C10" s="2" t="s">
        <v>202</v>
      </c>
      <c r="D10" s="5">
        <v>0.84</v>
      </c>
      <c r="E10" s="5">
        <v>0</v>
      </c>
      <c r="F10" s="5">
        <v>0</v>
      </c>
      <c r="G10" s="5">
        <v>0</v>
      </c>
      <c r="H10" s="5">
        <v>8.9999999999999993E-3</v>
      </c>
      <c r="I10" s="5">
        <v>0</v>
      </c>
      <c r="J10" s="5">
        <v>0.151</v>
      </c>
      <c r="K10" s="5">
        <f>SUM(D10:J10)</f>
        <v>1</v>
      </c>
      <c r="L10" s="2" t="s">
        <v>203</v>
      </c>
    </row>
    <row r="11" spans="1:12" ht="27.75" x14ac:dyDescent="0.2">
      <c r="A11" s="2" t="s">
        <v>204</v>
      </c>
      <c r="B11" s="2" t="s">
        <v>205</v>
      </c>
      <c r="C11" s="2" t="s">
        <v>206</v>
      </c>
      <c r="D11" s="5">
        <v>0.79</v>
      </c>
      <c r="E11" s="5">
        <v>0</v>
      </c>
      <c r="F11" s="5">
        <v>0</v>
      </c>
      <c r="G11" s="5">
        <v>0</v>
      </c>
      <c r="H11" s="5">
        <v>0.05</v>
      </c>
      <c r="I11" s="5">
        <v>0.05</v>
      </c>
      <c r="J11" s="5">
        <v>0.11</v>
      </c>
      <c r="K11" s="5">
        <f>SUM(D11:J11)</f>
        <v>1.0000000000000002</v>
      </c>
      <c r="L11" s="2" t="s">
        <v>207</v>
      </c>
    </row>
    <row r="12" spans="1:12" ht="27.75" x14ac:dyDescent="0.2">
      <c r="A12" s="2" t="s">
        <v>208</v>
      </c>
      <c r="B12" s="2" t="s">
        <v>209</v>
      </c>
      <c r="C12" s="2" t="s">
        <v>210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0.9</v>
      </c>
      <c r="J12" s="5">
        <v>0.1</v>
      </c>
      <c r="K12" s="5">
        <f>SUM(D12:J12)</f>
        <v>1</v>
      </c>
      <c r="L12" s="2" t="s">
        <v>211</v>
      </c>
    </row>
    <row r="13" spans="1:12" ht="27.75" x14ac:dyDescent="0.2">
      <c r="A13" s="2" t="s">
        <v>212</v>
      </c>
      <c r="B13" s="2" t="s">
        <v>213</v>
      </c>
      <c r="C13" s="2" t="s">
        <v>214</v>
      </c>
      <c r="D13" s="5">
        <v>0.93600000000000005</v>
      </c>
      <c r="E13" s="5">
        <v>0</v>
      </c>
      <c r="F13" s="5">
        <v>0</v>
      </c>
      <c r="G13" s="5">
        <v>0</v>
      </c>
      <c r="H13" s="5">
        <v>1.2999999999999999E-2</v>
      </c>
      <c r="I13" s="5">
        <v>0</v>
      </c>
      <c r="J13" s="5">
        <v>5.0999999999999997E-2</v>
      </c>
      <c r="K13" s="5">
        <f>SUM(D13:J13)</f>
        <v>1</v>
      </c>
      <c r="L13" s="2" t="s">
        <v>215</v>
      </c>
    </row>
    <row r="14" spans="1:12" ht="27.75" x14ac:dyDescent="0.2">
      <c r="A14" s="2" t="s">
        <v>216</v>
      </c>
      <c r="B14" s="2" t="s">
        <v>217</v>
      </c>
      <c r="C14" s="2" t="s">
        <v>218</v>
      </c>
      <c r="D14" s="5">
        <v>0.86499999999999999</v>
      </c>
      <c r="E14" s="5">
        <v>0</v>
      </c>
      <c r="F14" s="5">
        <v>0</v>
      </c>
      <c r="G14" s="5">
        <v>0</v>
      </c>
      <c r="H14" s="5">
        <v>5.0000000000000001E-3</v>
      </c>
      <c r="I14" s="5">
        <v>0</v>
      </c>
      <c r="J14" s="5">
        <v>0.13</v>
      </c>
      <c r="K14" s="5">
        <f>SUM(D14:J14)</f>
        <v>1</v>
      </c>
      <c r="L14" s="2" t="s">
        <v>219</v>
      </c>
    </row>
  </sheetData>
  <conditionalFormatting sqref="K2:K14">
    <cfRule type="expression" dxfId="0" priority="1">
      <formula>ABS(K2-1)&gt;0.0001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Normal="60" zoomScaleSheetLayoutView="100" workbookViewId="0"/>
  </sheetViews>
  <sheetFormatPr defaultRowHeight="15" x14ac:dyDescent="0.2"/>
  <cols>
    <col min="1" max="1" width="20.04296875" customWidth="1"/>
    <col min="2" max="2" width="18.0234375" customWidth="1"/>
    <col min="3" max="5" width="52.05859375" customWidth="1"/>
  </cols>
  <sheetData>
    <row r="1" spans="1:5" x14ac:dyDescent="0.2">
      <c r="A1" s="6" t="s">
        <v>220</v>
      </c>
      <c r="B1" s="6" t="s">
        <v>221</v>
      </c>
      <c r="C1" s="6" t="s">
        <v>222</v>
      </c>
      <c r="D1" s="6" t="s">
        <v>223</v>
      </c>
      <c r="E1" s="6" t="s">
        <v>224</v>
      </c>
    </row>
    <row r="2" spans="1:5" ht="27.75" x14ac:dyDescent="0.2">
      <c r="A2" s="2" t="s">
        <v>225</v>
      </c>
      <c r="B2" s="7">
        <v>0.45</v>
      </c>
      <c r="C2" s="2" t="s">
        <v>226</v>
      </c>
      <c r="D2" s="2" t="s">
        <v>227</v>
      </c>
      <c r="E2" s="2" t="s">
        <v>228</v>
      </c>
    </row>
    <row r="3" spans="1:5" ht="27.75" x14ac:dyDescent="0.2">
      <c r="A3" s="2" t="s">
        <v>38</v>
      </c>
      <c r="B3" s="7">
        <v>0.15</v>
      </c>
      <c r="C3" s="2" t="s">
        <v>229</v>
      </c>
      <c r="D3" s="2" t="s">
        <v>230</v>
      </c>
      <c r="E3" s="2" t="s">
        <v>231</v>
      </c>
    </row>
    <row r="4" spans="1:5" ht="27.75" x14ac:dyDescent="0.2">
      <c r="A4" s="2" t="s">
        <v>55</v>
      </c>
      <c r="B4" s="7">
        <v>0.1</v>
      </c>
      <c r="C4" s="2" t="s">
        <v>232</v>
      </c>
      <c r="D4" s="2" t="s">
        <v>233</v>
      </c>
      <c r="E4" s="2" t="s">
        <v>234</v>
      </c>
    </row>
    <row r="5" spans="1:5" x14ac:dyDescent="0.2">
      <c r="A5" s="2" t="s">
        <v>235</v>
      </c>
      <c r="B5" s="7">
        <v>0.15</v>
      </c>
      <c r="C5" s="2" t="s">
        <v>236</v>
      </c>
      <c r="D5" s="2" t="s">
        <v>237</v>
      </c>
      <c r="E5" s="2" t="s">
        <v>238</v>
      </c>
    </row>
    <row r="6" spans="1:5" ht="27.75" x14ac:dyDescent="0.2">
      <c r="A6" s="2" t="s">
        <v>239</v>
      </c>
      <c r="B6" s="7">
        <v>0.08</v>
      </c>
      <c r="C6" s="2" t="s">
        <v>240</v>
      </c>
      <c r="D6" s="2" t="s">
        <v>241</v>
      </c>
      <c r="E6" s="2" t="s">
        <v>242</v>
      </c>
    </row>
    <row r="7" spans="1:5" x14ac:dyDescent="0.2">
      <c r="A7" s="2" t="s">
        <v>243</v>
      </c>
      <c r="B7" s="7">
        <v>0.05</v>
      </c>
      <c r="C7" s="2" t="s">
        <v>244</v>
      </c>
      <c r="D7" s="2" t="s">
        <v>245</v>
      </c>
      <c r="E7" s="2" t="s">
        <v>246</v>
      </c>
    </row>
    <row r="8" spans="1:5" x14ac:dyDescent="0.2">
      <c r="A8" s="2" t="s">
        <v>247</v>
      </c>
      <c r="B8" s="7">
        <v>0.02</v>
      </c>
      <c r="C8" s="2"/>
      <c r="D8" s="2"/>
      <c r="E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Process &amp; Tool Matrix</vt:lpstr>
      <vt:lpstr>Tool Grade Index Split</vt:lpstr>
      <vt:lpstr>Index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Stepanian</dc:creator>
  <dcterms:created xsi:type="dcterms:W3CDTF">2026-08-16T21:15:28Z</dcterms:created>
</cp:coreProperties>
</file>