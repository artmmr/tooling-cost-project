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450004\Desktop\AS\TCE\"/>
    </mc:Choice>
  </mc:AlternateContent>
  <xr:revisionPtr revIDLastSave="0" documentId="13_ncr:1_{E46E035B-E064-4914-BA7B-7EA2F0717F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ference summary" sheetId="1" r:id="rId1"/>
    <sheet name="Tool blocks" sheetId="2" r:id="rId2"/>
    <sheet name="Quantity grades" sheetId="3" r:id="rId3"/>
    <sheet name="Sizing guid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29" i="4"/>
  <c r="B34" i="4"/>
  <c r="B33" i="4"/>
  <c r="W358" i="2"/>
  <c r="Z358" i="2"/>
  <c r="Y358" i="2"/>
  <c r="U358" i="2"/>
  <c r="X358" i="2"/>
  <c r="V358" i="2"/>
  <c r="F358" i="2"/>
  <c r="W357" i="2"/>
  <c r="Z357" i="2" s="1"/>
  <c r="Y357" i="2"/>
  <c r="U357" i="2"/>
  <c r="X357" i="2"/>
  <c r="V357" i="2"/>
  <c r="W356" i="2"/>
  <c r="Z356" i="2"/>
  <c r="Y356" i="2"/>
  <c r="U356" i="2"/>
  <c r="X356" i="2"/>
  <c r="F356" i="2" s="1"/>
  <c r="V356" i="2"/>
  <c r="W355" i="2"/>
  <c r="Z355" i="2" s="1"/>
  <c r="Y355" i="2"/>
  <c r="U355" i="2"/>
  <c r="X355" i="2"/>
  <c r="V355" i="2"/>
  <c r="W354" i="2"/>
  <c r="Z354" i="2"/>
  <c r="Y354" i="2"/>
  <c r="U354" i="2"/>
  <c r="X354" i="2"/>
  <c r="V354" i="2"/>
  <c r="F354" i="2"/>
  <c r="W353" i="2"/>
  <c r="Z353" i="2" s="1"/>
  <c r="Y353" i="2"/>
  <c r="U353" i="2"/>
  <c r="X353" i="2"/>
  <c r="F353" i="2" s="1"/>
  <c r="V353" i="2"/>
  <c r="W352" i="2"/>
  <c r="Z352" i="2"/>
  <c r="Y352" i="2"/>
  <c r="U352" i="2"/>
  <c r="X352" i="2" s="1"/>
  <c r="V352" i="2"/>
  <c r="F352" i="2"/>
  <c r="W351" i="2"/>
  <c r="Z351" i="2" s="1"/>
  <c r="Y351" i="2"/>
  <c r="U351" i="2"/>
  <c r="X351" i="2"/>
  <c r="V351" i="2"/>
  <c r="W350" i="2"/>
  <c r="Z350" i="2"/>
  <c r="Y350" i="2"/>
  <c r="U350" i="2"/>
  <c r="X350" i="2" s="1"/>
  <c r="F350" i="2" s="1"/>
  <c r="V350" i="2"/>
  <c r="W349" i="2"/>
  <c r="Z349" i="2" s="1"/>
  <c r="Y349" i="2"/>
  <c r="U349" i="2"/>
  <c r="X349" i="2"/>
  <c r="F349" i="2" s="1"/>
  <c r="V349" i="2"/>
  <c r="W348" i="2"/>
  <c r="Z348" i="2"/>
  <c r="J63" i="1" s="1"/>
  <c r="Y348" i="2"/>
  <c r="U348" i="2"/>
  <c r="X348" i="2"/>
  <c r="V348" i="2"/>
  <c r="W347" i="2"/>
  <c r="Z347" i="2" s="1"/>
  <c r="Y347" i="2"/>
  <c r="U347" i="2"/>
  <c r="X347" i="2"/>
  <c r="F347" i="2" s="1"/>
  <c r="V347" i="2"/>
  <c r="W345" i="2"/>
  <c r="Z345" i="2"/>
  <c r="V345" i="2"/>
  <c r="Y345" i="2"/>
  <c r="U345" i="2"/>
  <c r="X345" i="2" s="1"/>
  <c r="F345" i="2" s="1"/>
  <c r="W344" i="2"/>
  <c r="Z344" i="2" s="1"/>
  <c r="V344" i="2"/>
  <c r="Y344" i="2" s="1"/>
  <c r="U344" i="2"/>
  <c r="X344" i="2" s="1"/>
  <c r="I344" i="2"/>
  <c r="W342" i="2"/>
  <c r="Z342" i="2" s="1"/>
  <c r="V342" i="2"/>
  <c r="Y342" i="2" s="1"/>
  <c r="U342" i="2"/>
  <c r="X342" i="2" s="1"/>
  <c r="F342" i="2" s="1"/>
  <c r="W341" i="2"/>
  <c r="Z341" i="2"/>
  <c r="V341" i="2"/>
  <c r="Y341" i="2"/>
  <c r="F341" i="2" s="1"/>
  <c r="U341" i="2"/>
  <c r="X341" i="2"/>
  <c r="I341" i="2"/>
  <c r="W339" i="2"/>
  <c r="Z339" i="2"/>
  <c r="V339" i="2"/>
  <c r="Y339" i="2"/>
  <c r="U339" i="2"/>
  <c r="X339" i="2" s="1"/>
  <c r="W338" i="2"/>
  <c r="Z338" i="2" s="1"/>
  <c r="V338" i="2"/>
  <c r="Y338" i="2" s="1"/>
  <c r="U338" i="2"/>
  <c r="X338" i="2" s="1"/>
  <c r="I338" i="2"/>
  <c r="W336" i="2"/>
  <c r="Z336" i="2"/>
  <c r="V336" i="2"/>
  <c r="Y336" i="2" s="1"/>
  <c r="U336" i="2"/>
  <c r="X336" i="2" s="1"/>
  <c r="W335" i="2"/>
  <c r="Z335" i="2"/>
  <c r="V335" i="2"/>
  <c r="Y335" i="2"/>
  <c r="U335" i="2"/>
  <c r="X335" i="2"/>
  <c r="F335" i="2" s="1"/>
  <c r="I335" i="2"/>
  <c r="W333" i="2"/>
  <c r="Z333" i="2"/>
  <c r="V333" i="2"/>
  <c r="Y333" i="2" s="1"/>
  <c r="U333" i="2"/>
  <c r="X333" i="2"/>
  <c r="W332" i="2"/>
  <c r="Z332" i="2" s="1"/>
  <c r="V332" i="2"/>
  <c r="Y332" i="2" s="1"/>
  <c r="U332" i="2"/>
  <c r="X332" i="2"/>
  <c r="F332" i="2" s="1"/>
  <c r="I332" i="2"/>
  <c r="W330" i="2"/>
  <c r="Z330" i="2" s="1"/>
  <c r="L60" i="1" s="1"/>
  <c r="V330" i="2"/>
  <c r="Y330" i="2" s="1"/>
  <c r="U330" i="2"/>
  <c r="X330" i="2" s="1"/>
  <c r="W329" i="2"/>
  <c r="Z329" i="2"/>
  <c r="V329" i="2"/>
  <c r="Y329" i="2"/>
  <c r="U329" i="2"/>
  <c r="X329" i="2"/>
  <c r="J59" i="1" s="1"/>
  <c r="I329" i="2"/>
  <c r="F329" i="2"/>
  <c r="W328" i="2"/>
  <c r="Z328" i="2" s="1"/>
  <c r="Y328" i="2"/>
  <c r="U328" i="2"/>
  <c r="X328" i="2" s="1"/>
  <c r="F328" i="2" s="1"/>
  <c r="V328" i="2"/>
  <c r="W327" i="2"/>
  <c r="Z327" i="2" s="1"/>
  <c r="V327" i="2"/>
  <c r="Y327" i="2"/>
  <c r="F327" i="2" s="1"/>
  <c r="U327" i="2"/>
  <c r="X327" i="2"/>
  <c r="I327" i="2"/>
  <c r="W326" i="2"/>
  <c r="Z326" i="2"/>
  <c r="Y326" i="2"/>
  <c r="U326" i="2"/>
  <c r="X326" i="2"/>
  <c r="V326" i="2"/>
  <c r="F326" i="2"/>
  <c r="W325" i="2"/>
  <c r="Z325" i="2"/>
  <c r="V325" i="2"/>
  <c r="Y325" i="2" s="1"/>
  <c r="U325" i="2"/>
  <c r="X325" i="2" s="1"/>
  <c r="F325" i="2" s="1"/>
  <c r="I325" i="2"/>
  <c r="W324" i="2"/>
  <c r="Z324" i="2"/>
  <c r="Y324" i="2"/>
  <c r="U324" i="2"/>
  <c r="X324" i="2" s="1"/>
  <c r="V324" i="2"/>
  <c r="W323" i="2"/>
  <c r="Z323" i="2" s="1"/>
  <c r="V323" i="2"/>
  <c r="Y323" i="2"/>
  <c r="U323" i="2"/>
  <c r="X323" i="2" s="1"/>
  <c r="I323" i="2"/>
  <c r="W322" i="2"/>
  <c r="Z322" i="2" s="1"/>
  <c r="Y322" i="2"/>
  <c r="U322" i="2"/>
  <c r="X322" i="2"/>
  <c r="F322" i="2" s="1"/>
  <c r="V322" i="2"/>
  <c r="W321" i="2"/>
  <c r="Z321" i="2"/>
  <c r="V321" i="2"/>
  <c r="Y321" i="2"/>
  <c r="U321" i="2"/>
  <c r="X321" i="2" s="1"/>
  <c r="I321" i="2"/>
  <c r="W320" i="2"/>
  <c r="Z320" i="2"/>
  <c r="Y320" i="2"/>
  <c r="U320" i="2"/>
  <c r="X320" i="2" s="1"/>
  <c r="V320" i="2"/>
  <c r="F320" i="2"/>
  <c r="W319" i="2"/>
  <c r="Z319" i="2" s="1"/>
  <c r="V319" i="2"/>
  <c r="Y319" i="2" s="1"/>
  <c r="U319" i="2"/>
  <c r="X319" i="2"/>
  <c r="I319" i="2"/>
  <c r="W318" i="2"/>
  <c r="Z318" i="2" s="1"/>
  <c r="Y318" i="2"/>
  <c r="U318" i="2"/>
  <c r="X318" i="2"/>
  <c r="V318" i="2"/>
  <c r="F318" i="2"/>
  <c r="W317" i="2"/>
  <c r="Z317" i="2"/>
  <c r="L57" i="1" s="1"/>
  <c r="V317" i="2"/>
  <c r="Y317" i="2" s="1"/>
  <c r="U317" i="2"/>
  <c r="X317" i="2" s="1"/>
  <c r="I317" i="2"/>
  <c r="W316" i="2"/>
  <c r="Z316" i="2"/>
  <c r="Y316" i="2"/>
  <c r="U316" i="2"/>
  <c r="X316" i="2"/>
  <c r="F316" i="2" s="1"/>
  <c r="V316" i="2"/>
  <c r="I316" i="2"/>
  <c r="W315" i="2"/>
  <c r="Z315" i="2" s="1"/>
  <c r="V315" i="2"/>
  <c r="Y315" i="2"/>
  <c r="U315" i="2"/>
  <c r="X315" i="2"/>
  <c r="I315" i="2"/>
  <c r="W314" i="2"/>
  <c r="Z314" i="2"/>
  <c r="V314" i="2"/>
  <c r="Y314" i="2"/>
  <c r="U314" i="2"/>
  <c r="X314" i="2" s="1"/>
  <c r="F314" i="2" s="1"/>
  <c r="I314" i="2"/>
  <c r="W313" i="2"/>
  <c r="Z313" i="2"/>
  <c r="V313" i="2"/>
  <c r="Y313" i="2"/>
  <c r="U313" i="2"/>
  <c r="X313" i="2"/>
  <c r="I313" i="2"/>
  <c r="W312" i="2"/>
  <c r="Z312" i="2"/>
  <c r="V312" i="2"/>
  <c r="Y312" i="2"/>
  <c r="U312" i="2"/>
  <c r="X312" i="2" s="1"/>
  <c r="F312" i="2" s="1"/>
  <c r="I312" i="2"/>
  <c r="W311" i="2"/>
  <c r="Z311" i="2"/>
  <c r="V311" i="2"/>
  <c r="Y311" i="2"/>
  <c r="F311" i="2" s="1"/>
  <c r="U311" i="2"/>
  <c r="X311" i="2"/>
  <c r="W310" i="2"/>
  <c r="Z310" i="2"/>
  <c r="V310" i="2"/>
  <c r="Y310" i="2" s="1"/>
  <c r="U310" i="2"/>
  <c r="X310" i="2"/>
  <c r="F310" i="2" s="1"/>
  <c r="W309" i="2"/>
  <c r="Z309" i="2"/>
  <c r="Y309" i="2"/>
  <c r="U309" i="2"/>
  <c r="X309" i="2" s="1"/>
  <c r="F309" i="2" s="1"/>
  <c r="V309" i="2"/>
  <c r="I309" i="2"/>
  <c r="W308" i="2"/>
  <c r="Z308" i="2"/>
  <c r="V308" i="2"/>
  <c r="Y308" i="2" s="1"/>
  <c r="U308" i="2"/>
  <c r="X308" i="2" s="1"/>
  <c r="F308" i="2" s="1"/>
  <c r="I308" i="2"/>
  <c r="W307" i="2"/>
  <c r="Z307" i="2"/>
  <c r="V307" i="2"/>
  <c r="Y307" i="2"/>
  <c r="U307" i="2"/>
  <c r="X307" i="2" s="1"/>
  <c r="F307" i="2" s="1"/>
  <c r="I307" i="2"/>
  <c r="W306" i="2"/>
  <c r="Z306" i="2" s="1"/>
  <c r="V306" i="2"/>
  <c r="Y306" i="2"/>
  <c r="U306" i="2"/>
  <c r="X306" i="2"/>
  <c r="F306" i="2" s="1"/>
  <c r="I306" i="2"/>
  <c r="W305" i="2"/>
  <c r="Z305" i="2"/>
  <c r="V305" i="2"/>
  <c r="Y305" i="2"/>
  <c r="U305" i="2"/>
  <c r="X305" i="2"/>
  <c r="I305" i="2"/>
  <c r="W304" i="2"/>
  <c r="Z304" i="2"/>
  <c r="V304" i="2"/>
  <c r="Y304" i="2"/>
  <c r="U304" i="2"/>
  <c r="X304" i="2"/>
  <c r="W303" i="2"/>
  <c r="Z303" i="2"/>
  <c r="V303" i="2"/>
  <c r="Y303" i="2"/>
  <c r="U303" i="2"/>
  <c r="X303" i="2" s="1"/>
  <c r="W302" i="2"/>
  <c r="Z302" i="2" s="1"/>
  <c r="Y302" i="2"/>
  <c r="U302" i="2"/>
  <c r="X302" i="2" s="1"/>
  <c r="F302" i="2" s="1"/>
  <c r="V302" i="2"/>
  <c r="I302" i="2"/>
  <c r="W301" i="2"/>
  <c r="Z301" i="2"/>
  <c r="V301" i="2"/>
  <c r="Y301" i="2" s="1"/>
  <c r="U301" i="2"/>
  <c r="X301" i="2" s="1"/>
  <c r="I301" i="2"/>
  <c r="W300" i="2"/>
  <c r="Z300" i="2"/>
  <c r="V300" i="2"/>
  <c r="Y300" i="2"/>
  <c r="U300" i="2"/>
  <c r="X300" i="2"/>
  <c r="F300" i="2" s="1"/>
  <c r="I300" i="2"/>
  <c r="W299" i="2"/>
  <c r="Z299" i="2"/>
  <c r="V299" i="2"/>
  <c r="Y299" i="2" s="1"/>
  <c r="U299" i="2"/>
  <c r="X299" i="2"/>
  <c r="I299" i="2"/>
  <c r="W298" i="2"/>
  <c r="Z298" i="2"/>
  <c r="V298" i="2"/>
  <c r="Y298" i="2"/>
  <c r="U298" i="2"/>
  <c r="X298" i="2"/>
  <c r="F298" i="2" s="1"/>
  <c r="I298" i="2"/>
  <c r="W297" i="2"/>
  <c r="Z297" i="2" s="1"/>
  <c r="V297" i="2"/>
  <c r="Y297" i="2"/>
  <c r="U297" i="2"/>
  <c r="X297" i="2"/>
  <c r="W296" i="2"/>
  <c r="Z296" i="2" s="1"/>
  <c r="V296" i="2"/>
  <c r="Y296" i="2"/>
  <c r="U296" i="2"/>
  <c r="X296" i="2"/>
  <c r="F296" i="2"/>
  <c r="W295" i="2"/>
  <c r="Z295" i="2" s="1"/>
  <c r="Y295" i="2"/>
  <c r="U295" i="2"/>
  <c r="X295" i="2" s="1"/>
  <c r="V295" i="2"/>
  <c r="I295" i="2"/>
  <c r="W294" i="2"/>
  <c r="Z294" i="2"/>
  <c r="V294" i="2"/>
  <c r="Y294" i="2" s="1"/>
  <c r="U294" i="2"/>
  <c r="X294" i="2"/>
  <c r="I294" i="2"/>
  <c r="W293" i="2"/>
  <c r="Z293" i="2"/>
  <c r="V293" i="2"/>
  <c r="Y293" i="2"/>
  <c r="F293" i="2" s="1"/>
  <c r="U293" i="2"/>
  <c r="X293" i="2"/>
  <c r="I293" i="2"/>
  <c r="W292" i="2"/>
  <c r="Z292" i="2"/>
  <c r="V292" i="2"/>
  <c r="Y292" i="2"/>
  <c r="U292" i="2"/>
  <c r="X292" i="2" s="1"/>
  <c r="F292" i="2" s="1"/>
  <c r="I292" i="2"/>
  <c r="W291" i="2"/>
  <c r="Z291" i="2"/>
  <c r="V291" i="2"/>
  <c r="Y291" i="2"/>
  <c r="U291" i="2"/>
  <c r="X291" i="2"/>
  <c r="I291" i="2"/>
  <c r="W290" i="2"/>
  <c r="Z290" i="2" s="1"/>
  <c r="V290" i="2"/>
  <c r="Y290" i="2" s="1"/>
  <c r="U290" i="2"/>
  <c r="X290" i="2" s="1"/>
  <c r="F290" i="2" s="1"/>
  <c r="W289" i="2"/>
  <c r="Z289" i="2" s="1"/>
  <c r="V289" i="2"/>
  <c r="Y289" i="2" s="1"/>
  <c r="U289" i="2"/>
  <c r="X289" i="2" s="1"/>
  <c r="F289" i="2" s="1"/>
  <c r="W288" i="2"/>
  <c r="Z288" i="2"/>
  <c r="Y288" i="2"/>
  <c r="U288" i="2"/>
  <c r="X288" i="2"/>
  <c r="V288" i="2"/>
  <c r="I288" i="2"/>
  <c r="F288" i="2"/>
  <c r="W287" i="2"/>
  <c r="Z287" i="2"/>
  <c r="V287" i="2"/>
  <c r="Y287" i="2"/>
  <c r="U287" i="2"/>
  <c r="X287" i="2"/>
  <c r="F287" i="2" s="1"/>
  <c r="I287" i="2"/>
  <c r="W286" i="2"/>
  <c r="Z286" i="2" s="1"/>
  <c r="V286" i="2"/>
  <c r="Y286" i="2"/>
  <c r="U286" i="2"/>
  <c r="X286" i="2"/>
  <c r="I286" i="2"/>
  <c r="F286" i="2"/>
  <c r="W285" i="2"/>
  <c r="Z285" i="2"/>
  <c r="V285" i="2"/>
  <c r="Y285" i="2" s="1"/>
  <c r="U285" i="2"/>
  <c r="X285" i="2" s="1"/>
  <c r="I285" i="2"/>
  <c r="W284" i="2"/>
  <c r="Z284" i="2" s="1"/>
  <c r="V284" i="2"/>
  <c r="Y284" i="2"/>
  <c r="U284" i="2"/>
  <c r="X284" i="2"/>
  <c r="I284" i="2"/>
  <c r="F284" i="2"/>
  <c r="W283" i="2"/>
  <c r="Z283" i="2" s="1"/>
  <c r="V283" i="2"/>
  <c r="Y283" i="2" s="1"/>
  <c r="U283" i="2"/>
  <c r="X283" i="2" s="1"/>
  <c r="W282" i="2"/>
  <c r="Z282" i="2" s="1"/>
  <c r="V282" i="2"/>
  <c r="Y282" i="2" s="1"/>
  <c r="U282" i="2"/>
  <c r="X282" i="2" s="1"/>
  <c r="F282" i="2" s="1"/>
  <c r="W281" i="2"/>
  <c r="Z281" i="2"/>
  <c r="J56" i="1" s="1"/>
  <c r="Y281" i="2"/>
  <c r="U281" i="2"/>
  <c r="X281" i="2"/>
  <c r="F281" i="2" s="1"/>
  <c r="V281" i="2"/>
  <c r="I281" i="2"/>
  <c r="W280" i="2"/>
  <c r="Z280" i="2"/>
  <c r="V280" i="2"/>
  <c r="Y280" i="2"/>
  <c r="U280" i="2"/>
  <c r="X280" i="2"/>
  <c r="I280" i="2"/>
  <c r="F280" i="2"/>
  <c r="W279" i="2"/>
  <c r="Z279" i="2"/>
  <c r="V279" i="2"/>
  <c r="Y279" i="2" s="1"/>
  <c r="K54" i="1" s="1"/>
  <c r="U279" i="2"/>
  <c r="X279" i="2" s="1"/>
  <c r="I279" i="2"/>
  <c r="W278" i="2"/>
  <c r="Z278" i="2"/>
  <c r="V278" i="2"/>
  <c r="Y278" i="2"/>
  <c r="U278" i="2"/>
  <c r="X278" i="2"/>
  <c r="I278" i="2"/>
  <c r="F278" i="2"/>
  <c r="W277" i="2"/>
  <c r="Z277" i="2" s="1"/>
  <c r="V277" i="2"/>
  <c r="Y277" i="2"/>
  <c r="K52" i="1" s="1"/>
  <c r="U277" i="2"/>
  <c r="X277" i="2"/>
  <c r="I277" i="2"/>
  <c r="W276" i="2"/>
  <c r="Z276" i="2"/>
  <c r="V276" i="2"/>
  <c r="Y276" i="2" s="1"/>
  <c r="U276" i="2"/>
  <c r="X276" i="2"/>
  <c r="F276" i="2"/>
  <c r="W275" i="2"/>
  <c r="Z275" i="2"/>
  <c r="F275" i="2" s="1"/>
  <c r="V275" i="2"/>
  <c r="Y275" i="2" s="1"/>
  <c r="K50" i="1" s="1"/>
  <c r="U275" i="2"/>
  <c r="X275" i="2" s="1"/>
  <c r="J50" i="1" s="1"/>
  <c r="W274" i="2"/>
  <c r="Z274" i="2"/>
  <c r="V274" i="2"/>
  <c r="Y274" i="2" s="1"/>
  <c r="U274" i="2"/>
  <c r="X274" i="2" s="1"/>
  <c r="F274" i="2" s="1"/>
  <c r="W273" i="2"/>
  <c r="Z273" i="2"/>
  <c r="Y273" i="2"/>
  <c r="U273" i="2"/>
  <c r="X273" i="2"/>
  <c r="F273" i="2" s="1"/>
  <c r="V273" i="2"/>
  <c r="I273" i="2"/>
  <c r="W272" i="2"/>
  <c r="Z272" i="2"/>
  <c r="Y272" i="2"/>
  <c r="U272" i="2"/>
  <c r="X272" i="2"/>
  <c r="V272" i="2"/>
  <c r="I272" i="2"/>
  <c r="F272" i="2"/>
  <c r="W271" i="2"/>
  <c r="Z271" i="2" s="1"/>
  <c r="V271" i="2"/>
  <c r="Y271" i="2" s="1"/>
  <c r="U271" i="2"/>
  <c r="X271" i="2" s="1"/>
  <c r="I271" i="2"/>
  <c r="F271" i="2"/>
  <c r="W270" i="2"/>
  <c r="Z270" i="2" s="1"/>
  <c r="Y270" i="2"/>
  <c r="U270" i="2"/>
  <c r="X270" i="2" s="1"/>
  <c r="V270" i="2"/>
  <c r="I270" i="2"/>
  <c r="W269" i="2"/>
  <c r="Z269" i="2" s="1"/>
  <c r="V269" i="2"/>
  <c r="Y269" i="2" s="1"/>
  <c r="U269" i="2"/>
  <c r="X269" i="2" s="1"/>
  <c r="F269" i="2" s="1"/>
  <c r="W268" i="2"/>
  <c r="Z268" i="2"/>
  <c r="Y268" i="2"/>
  <c r="U268" i="2"/>
  <c r="X268" i="2"/>
  <c r="F268" i="2" s="1"/>
  <c r="V268" i="2"/>
  <c r="I268" i="2"/>
  <c r="W267" i="2"/>
  <c r="Z267" i="2"/>
  <c r="Y267" i="2"/>
  <c r="U267" i="2"/>
  <c r="X267" i="2"/>
  <c r="F267" i="2" s="1"/>
  <c r="V267" i="2"/>
  <c r="I267" i="2"/>
  <c r="W266" i="2"/>
  <c r="Z266" i="2" s="1"/>
  <c r="V266" i="2"/>
  <c r="Y266" i="2" s="1"/>
  <c r="U266" i="2"/>
  <c r="X266" i="2"/>
  <c r="F266" i="2" s="1"/>
  <c r="I266" i="2"/>
  <c r="W265" i="2"/>
  <c r="Z265" i="2"/>
  <c r="Y265" i="2"/>
  <c r="U265" i="2"/>
  <c r="X265" i="2" s="1"/>
  <c r="F265" i="2" s="1"/>
  <c r="V265" i="2"/>
  <c r="I265" i="2"/>
  <c r="W264" i="2"/>
  <c r="Z264" i="2" s="1"/>
  <c r="V264" i="2"/>
  <c r="Y264" i="2"/>
  <c r="U264" i="2"/>
  <c r="X264" i="2"/>
  <c r="W263" i="2"/>
  <c r="Z263" i="2" s="1"/>
  <c r="Y263" i="2"/>
  <c r="U263" i="2"/>
  <c r="X263" i="2"/>
  <c r="F263" i="2" s="1"/>
  <c r="V263" i="2"/>
  <c r="I263" i="2"/>
  <c r="W262" i="2"/>
  <c r="Z262" i="2" s="1"/>
  <c r="Y262" i="2"/>
  <c r="U262" i="2"/>
  <c r="X262" i="2"/>
  <c r="F262" i="2" s="1"/>
  <c r="V262" i="2"/>
  <c r="I262" i="2"/>
  <c r="W261" i="2"/>
  <c r="Z261" i="2"/>
  <c r="V261" i="2"/>
  <c r="Y261" i="2"/>
  <c r="U261" i="2"/>
  <c r="X261" i="2"/>
  <c r="I261" i="2"/>
  <c r="W260" i="2"/>
  <c r="Z260" i="2" s="1"/>
  <c r="Y260" i="2"/>
  <c r="U260" i="2"/>
  <c r="X260" i="2"/>
  <c r="V260" i="2"/>
  <c r="I260" i="2"/>
  <c r="W259" i="2"/>
  <c r="Z259" i="2"/>
  <c r="V259" i="2"/>
  <c r="Y259" i="2"/>
  <c r="U259" i="2"/>
  <c r="X259" i="2" s="1"/>
  <c r="F259" i="2"/>
  <c r="W258" i="2"/>
  <c r="Z258" i="2"/>
  <c r="Y258" i="2"/>
  <c r="U258" i="2"/>
  <c r="X258" i="2"/>
  <c r="V258" i="2"/>
  <c r="I258" i="2"/>
  <c r="W257" i="2"/>
  <c r="Z257" i="2" s="1"/>
  <c r="Y257" i="2"/>
  <c r="U257" i="2"/>
  <c r="X257" i="2" s="1"/>
  <c r="F257" i="2" s="1"/>
  <c r="V257" i="2"/>
  <c r="I257" i="2"/>
  <c r="W256" i="2"/>
  <c r="Z256" i="2"/>
  <c r="V256" i="2"/>
  <c r="Y256" i="2" s="1"/>
  <c r="U256" i="2"/>
  <c r="X256" i="2"/>
  <c r="I256" i="2"/>
  <c r="W255" i="2"/>
  <c r="Z255" i="2" s="1"/>
  <c r="Y255" i="2"/>
  <c r="U255" i="2"/>
  <c r="X255" i="2" s="1"/>
  <c r="F255" i="2" s="1"/>
  <c r="V255" i="2"/>
  <c r="I255" i="2"/>
  <c r="W254" i="2"/>
  <c r="Z254" i="2"/>
  <c r="V254" i="2"/>
  <c r="Y254" i="2" s="1"/>
  <c r="F254" i="2" s="1"/>
  <c r="U254" i="2"/>
  <c r="X254" i="2" s="1"/>
  <c r="W253" i="2"/>
  <c r="Z253" i="2" s="1"/>
  <c r="Y253" i="2"/>
  <c r="U253" i="2"/>
  <c r="X253" i="2"/>
  <c r="V253" i="2"/>
  <c r="I253" i="2"/>
  <c r="F253" i="2"/>
  <c r="W252" i="2"/>
  <c r="Z252" i="2"/>
  <c r="Y252" i="2"/>
  <c r="U252" i="2"/>
  <c r="X252" i="2" s="1"/>
  <c r="V252" i="2"/>
  <c r="I252" i="2"/>
  <c r="W251" i="2"/>
  <c r="Z251" i="2" s="1"/>
  <c r="V251" i="2"/>
  <c r="Y251" i="2" s="1"/>
  <c r="U251" i="2"/>
  <c r="X251" i="2" s="1"/>
  <c r="F251" i="2" s="1"/>
  <c r="I251" i="2"/>
  <c r="W250" i="2"/>
  <c r="Z250" i="2"/>
  <c r="Y250" i="2"/>
  <c r="U250" i="2"/>
  <c r="X250" i="2"/>
  <c r="F250" i="2" s="1"/>
  <c r="V250" i="2"/>
  <c r="I250" i="2"/>
  <c r="W249" i="2"/>
  <c r="Z249" i="2" s="1"/>
  <c r="V249" i="2"/>
  <c r="Y249" i="2" s="1"/>
  <c r="K49" i="1" s="1"/>
  <c r="U249" i="2"/>
  <c r="X249" i="2" s="1"/>
  <c r="W248" i="2"/>
  <c r="Z248" i="2" s="1"/>
  <c r="Y248" i="2"/>
  <c r="U248" i="2"/>
  <c r="X248" i="2" s="1"/>
  <c r="V248" i="2"/>
  <c r="I248" i="2"/>
  <c r="F248" i="2"/>
  <c r="W247" i="2"/>
  <c r="Z247" i="2"/>
  <c r="Y247" i="2"/>
  <c r="U247" i="2"/>
  <c r="X247" i="2" s="1"/>
  <c r="F247" i="2" s="1"/>
  <c r="V247" i="2"/>
  <c r="I247" i="2"/>
  <c r="W246" i="2"/>
  <c r="Z246" i="2"/>
  <c r="L46" i="1" s="1"/>
  <c r="V246" i="2"/>
  <c r="Y246" i="2"/>
  <c r="K46" i="1" s="1"/>
  <c r="U246" i="2"/>
  <c r="X246" i="2"/>
  <c r="I246" i="2"/>
  <c r="F246" i="2"/>
  <c r="W245" i="2"/>
  <c r="Z245" i="2"/>
  <c r="Y245" i="2"/>
  <c r="U245" i="2"/>
  <c r="X245" i="2"/>
  <c r="V245" i="2"/>
  <c r="I245" i="2"/>
  <c r="F245" i="2"/>
  <c r="W244" i="2"/>
  <c r="Z244" i="2"/>
  <c r="V244" i="2"/>
  <c r="Y244" i="2"/>
  <c r="U244" i="2"/>
  <c r="X244" i="2"/>
  <c r="F244" i="2" s="1"/>
  <c r="W243" i="2"/>
  <c r="Z243" i="2"/>
  <c r="V243" i="2"/>
  <c r="Y243" i="2"/>
  <c r="U243" i="2"/>
  <c r="X243" i="2"/>
  <c r="I243" i="2"/>
  <c r="W242" i="2"/>
  <c r="Z242" i="2" s="1"/>
  <c r="Y242" i="2"/>
  <c r="U242" i="2"/>
  <c r="X242" i="2"/>
  <c r="V242" i="2"/>
  <c r="I242" i="2"/>
  <c r="W241" i="2"/>
  <c r="Z241" i="2"/>
  <c r="F241" i="2" s="1"/>
  <c r="V241" i="2"/>
  <c r="Y241" i="2"/>
  <c r="U241" i="2"/>
  <c r="X241" i="2" s="1"/>
  <c r="W240" i="2"/>
  <c r="Z240" i="2"/>
  <c r="V240" i="2"/>
  <c r="Y240" i="2"/>
  <c r="U240" i="2"/>
  <c r="X240" i="2"/>
  <c r="I240" i="2"/>
  <c r="W239" i="2"/>
  <c r="Z239" i="2" s="1"/>
  <c r="Y239" i="2"/>
  <c r="U239" i="2"/>
  <c r="X239" i="2" s="1"/>
  <c r="V239" i="2"/>
  <c r="I239" i="2"/>
  <c r="F239" i="2"/>
  <c r="W238" i="2"/>
  <c r="Z238" i="2"/>
  <c r="V238" i="2"/>
  <c r="Y238" i="2"/>
  <c r="U238" i="2"/>
  <c r="X238" i="2" s="1"/>
  <c r="F238" i="2" s="1"/>
  <c r="W237" i="2"/>
  <c r="Z237" i="2"/>
  <c r="V237" i="2"/>
  <c r="Y237" i="2" s="1"/>
  <c r="U237" i="2"/>
  <c r="X237" i="2" s="1"/>
  <c r="I237" i="2"/>
  <c r="W236" i="2"/>
  <c r="Z236" i="2"/>
  <c r="Y236" i="2"/>
  <c r="U236" i="2"/>
  <c r="X236" i="2"/>
  <c r="F236" i="2" s="1"/>
  <c r="V236" i="2"/>
  <c r="I236" i="2"/>
  <c r="W235" i="2"/>
  <c r="Z235" i="2" s="1"/>
  <c r="F235" i="2" s="1"/>
  <c r="V235" i="2"/>
  <c r="Y235" i="2" s="1"/>
  <c r="U235" i="2"/>
  <c r="X235" i="2" s="1"/>
  <c r="W234" i="2"/>
  <c r="Z234" i="2"/>
  <c r="V234" i="2"/>
  <c r="Y234" i="2"/>
  <c r="U234" i="2"/>
  <c r="X234" i="2" s="1"/>
  <c r="F234" i="2" s="1"/>
  <c r="I234" i="2"/>
  <c r="W233" i="2"/>
  <c r="Z233" i="2"/>
  <c r="Y233" i="2"/>
  <c r="U233" i="2"/>
  <c r="X233" i="2" s="1"/>
  <c r="V233" i="2"/>
  <c r="I233" i="2"/>
  <c r="W232" i="2"/>
  <c r="Z232" i="2"/>
  <c r="V232" i="2"/>
  <c r="Y232" i="2" s="1"/>
  <c r="U232" i="2"/>
  <c r="X232" i="2"/>
  <c r="F232" i="2" s="1"/>
  <c r="W231" i="2"/>
  <c r="Z231" i="2" s="1"/>
  <c r="V231" i="2"/>
  <c r="Y231" i="2" s="1"/>
  <c r="U231" i="2"/>
  <c r="X231" i="2"/>
  <c r="I231" i="2"/>
  <c r="W230" i="2"/>
  <c r="Z230" i="2"/>
  <c r="Y230" i="2"/>
  <c r="U230" i="2"/>
  <c r="X230" i="2" s="1"/>
  <c r="V230" i="2"/>
  <c r="I230" i="2"/>
  <c r="F230" i="2"/>
  <c r="W229" i="2"/>
  <c r="Z229" i="2" s="1"/>
  <c r="L44" i="1" s="1"/>
  <c r="V229" i="2"/>
  <c r="Y229" i="2" s="1"/>
  <c r="K44" i="1" s="1"/>
  <c r="U229" i="2"/>
  <c r="X229" i="2"/>
  <c r="W228" i="2"/>
  <c r="Z228" i="2" s="1"/>
  <c r="V228" i="2"/>
  <c r="Y228" i="2" s="1"/>
  <c r="F228" i="2" s="1"/>
  <c r="U228" i="2"/>
  <c r="X228" i="2"/>
  <c r="I228" i="2"/>
  <c r="W227" i="2"/>
  <c r="Z227" i="2"/>
  <c r="Y227" i="2"/>
  <c r="U227" i="2"/>
  <c r="X227" i="2"/>
  <c r="F227" i="2" s="1"/>
  <c r="V227" i="2"/>
  <c r="I227" i="2"/>
  <c r="W226" i="2"/>
  <c r="Z226" i="2"/>
  <c r="V226" i="2"/>
  <c r="Y226" i="2"/>
  <c r="U226" i="2"/>
  <c r="X226" i="2"/>
  <c r="W225" i="2"/>
  <c r="Z225" i="2" s="1"/>
  <c r="V225" i="2"/>
  <c r="Y225" i="2"/>
  <c r="U225" i="2"/>
  <c r="X225" i="2"/>
  <c r="I225" i="2"/>
  <c r="W224" i="2"/>
  <c r="Z224" i="2" s="1"/>
  <c r="V224" i="2"/>
  <c r="Y224" i="2" s="1"/>
  <c r="U224" i="2"/>
  <c r="X224" i="2" s="1"/>
  <c r="F224" i="2" s="1"/>
  <c r="W223" i="2"/>
  <c r="Z223" i="2"/>
  <c r="V223" i="2"/>
  <c r="Y223" i="2" s="1"/>
  <c r="F223" i="2" s="1"/>
  <c r="U223" i="2"/>
  <c r="X223" i="2" s="1"/>
  <c r="I223" i="2"/>
  <c r="W222" i="2"/>
  <c r="Z222" i="2"/>
  <c r="V222" i="2"/>
  <c r="Y222" i="2"/>
  <c r="U222" i="2"/>
  <c r="X222" i="2"/>
  <c r="F222" i="2" s="1"/>
  <c r="W221" i="2"/>
  <c r="Z221" i="2"/>
  <c r="V221" i="2"/>
  <c r="Y221" i="2"/>
  <c r="U221" i="2"/>
  <c r="X221" i="2"/>
  <c r="I221" i="2"/>
  <c r="W220" i="2"/>
  <c r="Z220" i="2" s="1"/>
  <c r="V220" i="2"/>
  <c r="Y220" i="2" s="1"/>
  <c r="U220" i="2"/>
  <c r="X220" i="2" s="1"/>
  <c r="F220" i="2" s="1"/>
  <c r="W219" i="2"/>
  <c r="Z219" i="2"/>
  <c r="V219" i="2"/>
  <c r="Y219" i="2" s="1"/>
  <c r="U219" i="2"/>
  <c r="X219" i="2"/>
  <c r="F219" i="2" s="1"/>
  <c r="I219" i="2"/>
  <c r="W218" i="2"/>
  <c r="Z218" i="2" s="1"/>
  <c r="V218" i="2"/>
  <c r="Y218" i="2"/>
  <c r="U218" i="2"/>
  <c r="X218" i="2" s="1"/>
  <c r="W217" i="2"/>
  <c r="Z217" i="2"/>
  <c r="V217" i="2"/>
  <c r="Y217" i="2"/>
  <c r="U217" i="2"/>
  <c r="X217" i="2" s="1"/>
  <c r="I217" i="2"/>
  <c r="F217" i="2"/>
  <c r="W216" i="2"/>
  <c r="Z216" i="2" s="1"/>
  <c r="L41" i="1" s="1"/>
  <c r="V216" i="2"/>
  <c r="Y216" i="2"/>
  <c r="U216" i="2"/>
  <c r="X216" i="2" s="1"/>
  <c r="W215" i="2"/>
  <c r="Z215" i="2" s="1"/>
  <c r="V215" i="2"/>
  <c r="Y215" i="2"/>
  <c r="K40" i="1" s="1"/>
  <c r="U215" i="2"/>
  <c r="X215" i="2"/>
  <c r="J40" i="1" s="1"/>
  <c r="I215" i="2"/>
  <c r="W214" i="2"/>
  <c r="Z214" i="2"/>
  <c r="V214" i="2"/>
  <c r="Y214" i="2"/>
  <c r="U214" i="2"/>
  <c r="X214" i="2" s="1"/>
  <c r="W213" i="2"/>
  <c r="Z213" i="2"/>
  <c r="V213" i="2"/>
  <c r="Y213" i="2" s="1"/>
  <c r="U213" i="2"/>
  <c r="X213" i="2"/>
  <c r="F213" i="2"/>
  <c r="W212" i="2"/>
  <c r="Z212" i="2" s="1"/>
  <c r="V212" i="2"/>
  <c r="Y212" i="2" s="1"/>
  <c r="U212" i="2"/>
  <c r="X212" i="2"/>
  <c r="W211" i="2"/>
  <c r="Z211" i="2"/>
  <c r="V211" i="2"/>
  <c r="Y211" i="2" s="1"/>
  <c r="U211" i="2"/>
  <c r="X211" i="2"/>
  <c r="F211" i="2" s="1"/>
  <c r="W210" i="2"/>
  <c r="Z210" i="2"/>
  <c r="V210" i="2"/>
  <c r="Y210" i="2"/>
  <c r="F210" i="2" s="1"/>
  <c r="U210" i="2"/>
  <c r="X210" i="2"/>
  <c r="W209" i="2"/>
  <c r="Z209" i="2"/>
  <c r="V209" i="2"/>
  <c r="Y209" i="2" s="1"/>
  <c r="U209" i="2"/>
  <c r="X209" i="2"/>
  <c r="F209" i="2" s="1"/>
  <c r="W208" i="2"/>
  <c r="Z208" i="2" s="1"/>
  <c r="V208" i="2"/>
  <c r="Y208" i="2"/>
  <c r="U208" i="2"/>
  <c r="X208" i="2" s="1"/>
  <c r="W207" i="2"/>
  <c r="Z207" i="2"/>
  <c r="Y207" i="2"/>
  <c r="U207" i="2"/>
  <c r="X207" i="2"/>
  <c r="V207" i="2"/>
  <c r="F207" i="2"/>
  <c r="W206" i="2"/>
  <c r="Z206" i="2" s="1"/>
  <c r="V206" i="2"/>
  <c r="Y206" i="2" s="1"/>
  <c r="U206" i="2"/>
  <c r="X206" i="2" s="1"/>
  <c r="I206" i="2"/>
  <c r="W205" i="2"/>
  <c r="Z205" i="2" s="1"/>
  <c r="V205" i="2"/>
  <c r="Y205" i="2"/>
  <c r="U205" i="2"/>
  <c r="X205" i="2"/>
  <c r="F205" i="2" s="1"/>
  <c r="I205" i="2"/>
  <c r="W204" i="2"/>
  <c r="Z204" i="2"/>
  <c r="V204" i="2"/>
  <c r="Y204" i="2"/>
  <c r="U204" i="2"/>
  <c r="X204" i="2" s="1"/>
  <c r="W203" i="2"/>
  <c r="Z203" i="2" s="1"/>
  <c r="Y203" i="2"/>
  <c r="U203" i="2"/>
  <c r="X203" i="2" s="1"/>
  <c r="F203" i="2" s="1"/>
  <c r="V203" i="2"/>
  <c r="W202" i="2"/>
  <c r="Z202" i="2"/>
  <c r="V202" i="2"/>
  <c r="Y202" i="2" s="1"/>
  <c r="U202" i="2"/>
  <c r="X202" i="2" s="1"/>
  <c r="I202" i="2"/>
  <c r="W201" i="2"/>
  <c r="Z201" i="2"/>
  <c r="V201" i="2"/>
  <c r="Y201" i="2"/>
  <c r="U201" i="2"/>
  <c r="X201" i="2"/>
  <c r="I201" i="2"/>
  <c r="F201" i="2"/>
  <c r="W200" i="2"/>
  <c r="Z200" i="2"/>
  <c r="V200" i="2"/>
  <c r="Y200" i="2" s="1"/>
  <c r="U200" i="2"/>
  <c r="X200" i="2"/>
  <c r="W199" i="2"/>
  <c r="Z199" i="2"/>
  <c r="F199" i="2" s="1"/>
  <c r="Y199" i="2"/>
  <c r="U199" i="2"/>
  <c r="X199" i="2"/>
  <c r="V199" i="2"/>
  <c r="W198" i="2"/>
  <c r="Z198" i="2"/>
  <c r="V198" i="2"/>
  <c r="Y198" i="2" s="1"/>
  <c r="U198" i="2"/>
  <c r="X198" i="2"/>
  <c r="F198" i="2" s="1"/>
  <c r="I198" i="2"/>
  <c r="W197" i="2"/>
  <c r="Z197" i="2"/>
  <c r="V197" i="2"/>
  <c r="Y197" i="2" s="1"/>
  <c r="U197" i="2"/>
  <c r="X197" i="2" s="1"/>
  <c r="I197" i="2"/>
  <c r="F197" i="2"/>
  <c r="W196" i="2"/>
  <c r="Z196" i="2" s="1"/>
  <c r="V196" i="2"/>
  <c r="Y196" i="2"/>
  <c r="F196" i="2" s="1"/>
  <c r="U196" i="2"/>
  <c r="X196" i="2"/>
  <c r="W195" i="2"/>
  <c r="Z195" i="2"/>
  <c r="F195" i="2" s="1"/>
  <c r="Y195" i="2"/>
  <c r="U195" i="2"/>
  <c r="X195" i="2"/>
  <c r="V195" i="2"/>
  <c r="W194" i="2"/>
  <c r="Z194" i="2" s="1"/>
  <c r="V194" i="2"/>
  <c r="Y194" i="2"/>
  <c r="U194" i="2"/>
  <c r="X194" i="2"/>
  <c r="F194" i="2" s="1"/>
  <c r="I194" i="2"/>
  <c r="W193" i="2"/>
  <c r="Z193" i="2"/>
  <c r="V193" i="2"/>
  <c r="Y193" i="2" s="1"/>
  <c r="U193" i="2"/>
  <c r="X193" i="2" s="1"/>
  <c r="F193" i="2" s="1"/>
  <c r="I193" i="2"/>
  <c r="W192" i="2"/>
  <c r="Z192" i="2"/>
  <c r="V192" i="2"/>
  <c r="Y192" i="2"/>
  <c r="U192" i="2"/>
  <c r="X192" i="2"/>
  <c r="F192" i="2"/>
  <c r="W191" i="2"/>
  <c r="Z191" i="2"/>
  <c r="Y191" i="2"/>
  <c r="U191" i="2"/>
  <c r="X191" i="2"/>
  <c r="V191" i="2"/>
  <c r="W190" i="2"/>
  <c r="Z190" i="2"/>
  <c r="V190" i="2"/>
  <c r="Y190" i="2" s="1"/>
  <c r="F190" i="2" s="1"/>
  <c r="U190" i="2"/>
  <c r="X190" i="2"/>
  <c r="I190" i="2"/>
  <c r="W189" i="2"/>
  <c r="Z189" i="2"/>
  <c r="V189" i="2"/>
  <c r="Y189" i="2" s="1"/>
  <c r="F189" i="2" s="1"/>
  <c r="U189" i="2"/>
  <c r="X189" i="2" s="1"/>
  <c r="I189" i="2"/>
  <c r="W188" i="2"/>
  <c r="Z188" i="2"/>
  <c r="L38" i="1" s="1"/>
  <c r="V188" i="2"/>
  <c r="Y188" i="2"/>
  <c r="K38" i="1" s="1"/>
  <c r="U188" i="2"/>
  <c r="X188" i="2"/>
  <c r="J38" i="1" s="1"/>
  <c r="F188" i="2"/>
  <c r="W187" i="2"/>
  <c r="Z187" i="2"/>
  <c r="F187" i="2" s="1"/>
  <c r="Y187" i="2"/>
  <c r="U187" i="2"/>
  <c r="X187" i="2" s="1"/>
  <c r="V187" i="2"/>
  <c r="W186" i="2"/>
  <c r="Z186" i="2"/>
  <c r="V186" i="2"/>
  <c r="Y186" i="2"/>
  <c r="U186" i="2"/>
  <c r="X186" i="2"/>
  <c r="I186" i="2"/>
  <c r="F186" i="2"/>
  <c r="W185" i="2"/>
  <c r="Z185" i="2"/>
  <c r="V185" i="2"/>
  <c r="Y185" i="2" s="1"/>
  <c r="F185" i="2" s="1"/>
  <c r="U185" i="2"/>
  <c r="X185" i="2"/>
  <c r="I185" i="2"/>
  <c r="W184" i="2"/>
  <c r="Z184" i="2" s="1"/>
  <c r="Y184" i="2"/>
  <c r="U184" i="2"/>
  <c r="X184" i="2" s="1"/>
  <c r="V184" i="2"/>
  <c r="W183" i="2"/>
  <c r="Z183" i="2"/>
  <c r="Y183" i="2"/>
  <c r="U183" i="2"/>
  <c r="X183" i="2"/>
  <c r="V183" i="2"/>
  <c r="I183" i="2"/>
  <c r="F183" i="2"/>
  <c r="W182" i="2"/>
  <c r="Z182" i="2"/>
  <c r="Y182" i="2"/>
  <c r="U182" i="2"/>
  <c r="X182" i="2"/>
  <c r="V182" i="2"/>
  <c r="I182" i="2"/>
  <c r="W181" i="2"/>
  <c r="Z181" i="2"/>
  <c r="Y181" i="2"/>
  <c r="U181" i="2"/>
  <c r="X181" i="2"/>
  <c r="V181" i="2"/>
  <c r="I181" i="2"/>
  <c r="F181" i="2"/>
  <c r="W180" i="2"/>
  <c r="Z180" i="2"/>
  <c r="Y180" i="2"/>
  <c r="U180" i="2"/>
  <c r="X180" i="2" s="1"/>
  <c r="V180" i="2"/>
  <c r="I180" i="2"/>
  <c r="W179" i="2"/>
  <c r="Z179" i="2" s="1"/>
  <c r="Y179" i="2"/>
  <c r="U179" i="2"/>
  <c r="X179" i="2" s="1"/>
  <c r="F179" i="2" s="1"/>
  <c r="V179" i="2"/>
  <c r="W178" i="2"/>
  <c r="Z178" i="2" s="1"/>
  <c r="Y178" i="2"/>
  <c r="U178" i="2"/>
  <c r="X178" i="2"/>
  <c r="V178" i="2"/>
  <c r="I178" i="2"/>
  <c r="W177" i="2"/>
  <c r="Z177" i="2"/>
  <c r="Y177" i="2"/>
  <c r="U177" i="2"/>
  <c r="X177" i="2" s="1"/>
  <c r="F177" i="2" s="1"/>
  <c r="V177" i="2"/>
  <c r="I177" i="2"/>
  <c r="W176" i="2"/>
  <c r="Z176" i="2" s="1"/>
  <c r="F176" i="2" s="1"/>
  <c r="Y176" i="2"/>
  <c r="U176" i="2"/>
  <c r="X176" i="2"/>
  <c r="V176" i="2"/>
  <c r="I176" i="2"/>
  <c r="W175" i="2"/>
  <c r="Z175" i="2"/>
  <c r="Y175" i="2"/>
  <c r="U175" i="2"/>
  <c r="X175" i="2" s="1"/>
  <c r="F175" i="2" s="1"/>
  <c r="V175" i="2"/>
  <c r="I175" i="2"/>
  <c r="W174" i="2"/>
  <c r="Z174" i="2" s="1"/>
  <c r="F174" i="2" s="1"/>
  <c r="Y174" i="2"/>
  <c r="U174" i="2"/>
  <c r="X174" i="2"/>
  <c r="V174" i="2"/>
  <c r="W173" i="2"/>
  <c r="Z173" i="2" s="1"/>
  <c r="Y173" i="2"/>
  <c r="U173" i="2"/>
  <c r="X173" i="2"/>
  <c r="V173" i="2"/>
  <c r="I173" i="2"/>
  <c r="W172" i="2"/>
  <c r="Z172" i="2"/>
  <c r="Y172" i="2"/>
  <c r="U172" i="2"/>
  <c r="X172" i="2" s="1"/>
  <c r="F172" i="2" s="1"/>
  <c r="V172" i="2"/>
  <c r="I172" i="2"/>
  <c r="W171" i="2"/>
  <c r="Z171" i="2" s="1"/>
  <c r="Y171" i="2"/>
  <c r="U171" i="2"/>
  <c r="X171" i="2"/>
  <c r="V171" i="2"/>
  <c r="I171" i="2"/>
  <c r="W170" i="2"/>
  <c r="Z170" i="2"/>
  <c r="Y170" i="2"/>
  <c r="U170" i="2"/>
  <c r="X170" i="2"/>
  <c r="F170" i="2" s="1"/>
  <c r="V170" i="2"/>
  <c r="I170" i="2"/>
  <c r="W169" i="2"/>
  <c r="Z169" i="2"/>
  <c r="F169" i="2" s="1"/>
  <c r="Y169" i="2"/>
  <c r="U169" i="2"/>
  <c r="X169" i="2" s="1"/>
  <c r="V169" i="2"/>
  <c r="W168" i="2"/>
  <c r="Z168" i="2"/>
  <c r="Y168" i="2"/>
  <c r="U168" i="2"/>
  <c r="X168" i="2"/>
  <c r="F168" i="2" s="1"/>
  <c r="V168" i="2"/>
  <c r="I168" i="2"/>
  <c r="W167" i="2"/>
  <c r="Z167" i="2" s="1"/>
  <c r="Y167" i="2"/>
  <c r="U167" i="2"/>
  <c r="X167" i="2"/>
  <c r="V167" i="2"/>
  <c r="I167" i="2"/>
  <c r="W166" i="2"/>
  <c r="Z166" i="2"/>
  <c r="Y166" i="2"/>
  <c r="U166" i="2"/>
  <c r="X166" i="2" s="1"/>
  <c r="F166" i="2" s="1"/>
  <c r="V166" i="2"/>
  <c r="I166" i="2"/>
  <c r="W165" i="2"/>
  <c r="Z165" i="2" s="1"/>
  <c r="Y165" i="2"/>
  <c r="U165" i="2"/>
  <c r="X165" i="2"/>
  <c r="F165" i="2" s="1"/>
  <c r="V165" i="2"/>
  <c r="I165" i="2"/>
  <c r="W164" i="2"/>
  <c r="Z164" i="2"/>
  <c r="Y164" i="2"/>
  <c r="U164" i="2"/>
  <c r="X164" i="2" s="1"/>
  <c r="F164" i="2" s="1"/>
  <c r="V164" i="2"/>
  <c r="W163" i="2"/>
  <c r="Z163" i="2"/>
  <c r="Y163" i="2"/>
  <c r="U163" i="2"/>
  <c r="X163" i="2" s="1"/>
  <c r="F163" i="2" s="1"/>
  <c r="V163" i="2"/>
  <c r="I163" i="2"/>
  <c r="W162" i="2"/>
  <c r="Z162" i="2"/>
  <c r="Y162" i="2"/>
  <c r="U162" i="2"/>
  <c r="X162" i="2" s="1"/>
  <c r="F162" i="2" s="1"/>
  <c r="V162" i="2"/>
  <c r="I162" i="2"/>
  <c r="W161" i="2"/>
  <c r="Z161" i="2"/>
  <c r="Y161" i="2"/>
  <c r="U161" i="2"/>
  <c r="X161" i="2" s="1"/>
  <c r="V161" i="2"/>
  <c r="I161" i="2"/>
  <c r="F161" i="2"/>
  <c r="W160" i="2"/>
  <c r="Z160" i="2"/>
  <c r="Y160" i="2"/>
  <c r="U160" i="2"/>
  <c r="X160" i="2" s="1"/>
  <c r="F160" i="2" s="1"/>
  <c r="V160" i="2"/>
  <c r="I160" i="2"/>
  <c r="W159" i="2"/>
  <c r="Z159" i="2" s="1"/>
  <c r="Y159" i="2"/>
  <c r="U159" i="2"/>
  <c r="X159" i="2"/>
  <c r="V159" i="2"/>
  <c r="F159" i="2"/>
  <c r="W158" i="2"/>
  <c r="Z158" i="2"/>
  <c r="J33" i="1" s="1"/>
  <c r="Y158" i="2"/>
  <c r="U158" i="2"/>
  <c r="X158" i="2"/>
  <c r="V158" i="2"/>
  <c r="I158" i="2"/>
  <c r="W157" i="2"/>
  <c r="Z157" i="2"/>
  <c r="Y157" i="2"/>
  <c r="U157" i="2"/>
  <c r="X157" i="2"/>
  <c r="M32" i="1" s="1"/>
  <c r="V157" i="2"/>
  <c r="I157" i="2"/>
  <c r="F157" i="2"/>
  <c r="W156" i="2"/>
  <c r="Z156" i="2" s="1"/>
  <c r="J31" i="1" s="1"/>
  <c r="Y156" i="2"/>
  <c r="U156" i="2"/>
  <c r="X156" i="2" s="1"/>
  <c r="V156" i="2"/>
  <c r="I156" i="2"/>
  <c r="W155" i="2"/>
  <c r="Z155" i="2" s="1"/>
  <c r="J30" i="1" s="1"/>
  <c r="Y155" i="2"/>
  <c r="U155" i="2"/>
  <c r="X155" i="2" s="1"/>
  <c r="V155" i="2"/>
  <c r="I155" i="2"/>
  <c r="W154" i="2"/>
  <c r="Z154" i="2"/>
  <c r="V154" i="2"/>
  <c r="Y154" i="2" s="1"/>
  <c r="U154" i="2"/>
  <c r="X154" i="2"/>
  <c r="W153" i="2"/>
  <c r="Z153" i="2" s="1"/>
  <c r="V153" i="2"/>
  <c r="Y153" i="2"/>
  <c r="U153" i="2"/>
  <c r="X153" i="2" s="1"/>
  <c r="F153" i="2" s="1"/>
  <c r="W152" i="2"/>
  <c r="Z152" i="2" s="1"/>
  <c r="V152" i="2"/>
  <c r="Y152" i="2"/>
  <c r="U152" i="2"/>
  <c r="X152" i="2"/>
  <c r="W151" i="2"/>
  <c r="Z151" i="2"/>
  <c r="V151" i="2"/>
  <c r="Y151" i="2"/>
  <c r="U151" i="2"/>
  <c r="X151" i="2"/>
  <c r="F151" i="2" s="1"/>
  <c r="W150" i="2"/>
  <c r="Z150" i="2" s="1"/>
  <c r="V150" i="2"/>
  <c r="Y150" i="2" s="1"/>
  <c r="U150" i="2"/>
  <c r="X150" i="2" s="1"/>
  <c r="W149" i="2"/>
  <c r="Z149" i="2" s="1"/>
  <c r="V149" i="2"/>
  <c r="Y149" i="2" s="1"/>
  <c r="U149" i="2"/>
  <c r="X149" i="2"/>
  <c r="F149" i="2" s="1"/>
  <c r="W148" i="2"/>
  <c r="Z148" i="2" s="1"/>
  <c r="Y148" i="2"/>
  <c r="U148" i="2"/>
  <c r="X148" i="2"/>
  <c r="V148" i="2"/>
  <c r="W147" i="2"/>
  <c r="Z147" i="2"/>
  <c r="Y147" i="2"/>
  <c r="U147" i="2"/>
  <c r="X147" i="2" s="1"/>
  <c r="F147" i="2" s="1"/>
  <c r="V147" i="2"/>
  <c r="W146" i="2"/>
  <c r="Z146" i="2"/>
  <c r="Y146" i="2"/>
  <c r="U146" i="2"/>
  <c r="X146" i="2" s="1"/>
  <c r="F146" i="2" s="1"/>
  <c r="V146" i="2"/>
  <c r="W145" i="2"/>
  <c r="Z145" i="2"/>
  <c r="V145" i="2"/>
  <c r="Y145" i="2" s="1"/>
  <c r="U145" i="2"/>
  <c r="X145" i="2" s="1"/>
  <c r="F145" i="2" s="1"/>
  <c r="I145" i="2"/>
  <c r="W144" i="2"/>
  <c r="Z144" i="2"/>
  <c r="Y144" i="2"/>
  <c r="U144" i="2"/>
  <c r="X144" i="2"/>
  <c r="F144" i="2" s="1"/>
  <c r="V144" i="2"/>
  <c r="W143" i="2"/>
  <c r="Z143" i="2"/>
  <c r="Y143" i="2"/>
  <c r="U143" i="2"/>
  <c r="X143" i="2" s="1"/>
  <c r="V143" i="2"/>
  <c r="F143" i="2"/>
  <c r="W142" i="2"/>
  <c r="Z142" i="2"/>
  <c r="Y142" i="2"/>
  <c r="U142" i="2"/>
  <c r="X142" i="2"/>
  <c r="F142" i="2" s="1"/>
  <c r="V142" i="2"/>
  <c r="W141" i="2"/>
  <c r="Z141" i="2"/>
  <c r="V141" i="2"/>
  <c r="Y141" i="2"/>
  <c r="U141" i="2"/>
  <c r="X141" i="2" s="1"/>
  <c r="I141" i="2"/>
  <c r="F141" i="2"/>
  <c r="W140" i="2"/>
  <c r="Z140" i="2" s="1"/>
  <c r="Y140" i="2"/>
  <c r="U140" i="2"/>
  <c r="X140" i="2"/>
  <c r="V140" i="2"/>
  <c r="W139" i="2"/>
  <c r="Z139" i="2"/>
  <c r="F139" i="2" s="1"/>
  <c r="Y139" i="2"/>
  <c r="U139" i="2"/>
  <c r="X139" i="2" s="1"/>
  <c r="V139" i="2"/>
  <c r="W138" i="2"/>
  <c r="Z138" i="2" s="1"/>
  <c r="Y138" i="2"/>
  <c r="U138" i="2"/>
  <c r="X138" i="2" s="1"/>
  <c r="F138" i="2" s="1"/>
  <c r="V138" i="2"/>
  <c r="W137" i="2"/>
  <c r="Z137" i="2"/>
  <c r="V137" i="2"/>
  <c r="Y137" i="2" s="1"/>
  <c r="U137" i="2"/>
  <c r="X137" i="2"/>
  <c r="I137" i="2"/>
  <c r="F137" i="2"/>
  <c r="W136" i="2"/>
  <c r="Z136" i="2" s="1"/>
  <c r="Y136" i="2"/>
  <c r="U136" i="2"/>
  <c r="X136" i="2" s="1"/>
  <c r="F136" i="2" s="1"/>
  <c r="V136" i="2"/>
  <c r="W135" i="2"/>
  <c r="Z135" i="2"/>
  <c r="Y135" i="2"/>
  <c r="U135" i="2"/>
  <c r="X135" i="2"/>
  <c r="V135" i="2"/>
  <c r="F135" i="2"/>
  <c r="W134" i="2"/>
  <c r="Z134" i="2"/>
  <c r="Y134" i="2"/>
  <c r="U134" i="2"/>
  <c r="X134" i="2"/>
  <c r="V134" i="2"/>
  <c r="W133" i="2"/>
  <c r="Z133" i="2"/>
  <c r="V133" i="2"/>
  <c r="Y133" i="2" s="1"/>
  <c r="U133" i="2"/>
  <c r="X133" i="2" s="1"/>
  <c r="I133" i="2"/>
  <c r="F133" i="2"/>
  <c r="W132" i="2"/>
  <c r="Z132" i="2"/>
  <c r="Y132" i="2"/>
  <c r="U132" i="2"/>
  <c r="X132" i="2" s="1"/>
  <c r="F132" i="2" s="1"/>
  <c r="V132" i="2"/>
  <c r="W131" i="2"/>
  <c r="Z131" i="2"/>
  <c r="Y131" i="2"/>
  <c r="U131" i="2"/>
  <c r="X131" i="2" s="1"/>
  <c r="V131" i="2"/>
  <c r="F131" i="2"/>
  <c r="W130" i="2"/>
  <c r="Z130" i="2"/>
  <c r="Y130" i="2"/>
  <c r="U130" i="2"/>
  <c r="X130" i="2"/>
  <c r="V130" i="2"/>
  <c r="W129" i="2"/>
  <c r="Z129" i="2"/>
  <c r="V129" i="2"/>
  <c r="Y129" i="2"/>
  <c r="U129" i="2"/>
  <c r="X129" i="2"/>
  <c r="I129" i="2"/>
  <c r="F129" i="2"/>
  <c r="W128" i="2"/>
  <c r="Z128" i="2"/>
  <c r="J28" i="1" s="1"/>
  <c r="Y128" i="2"/>
  <c r="U128" i="2"/>
  <c r="X128" i="2"/>
  <c r="V128" i="2"/>
  <c r="W127" i="2"/>
  <c r="Z127" i="2" s="1"/>
  <c r="Y127" i="2"/>
  <c r="U127" i="2"/>
  <c r="X127" i="2" s="1"/>
  <c r="M27" i="1" s="1"/>
  <c r="V127" i="2"/>
  <c r="W126" i="2"/>
  <c r="Z126" i="2"/>
  <c r="Y126" i="2"/>
  <c r="U126" i="2"/>
  <c r="X126" i="2"/>
  <c r="F126" i="2" s="1"/>
  <c r="V126" i="2"/>
  <c r="W125" i="2"/>
  <c r="Z125" i="2" s="1"/>
  <c r="V125" i="2"/>
  <c r="Y125" i="2" s="1"/>
  <c r="K25" i="1" s="1"/>
  <c r="U125" i="2"/>
  <c r="X125" i="2" s="1"/>
  <c r="J25" i="1" s="1"/>
  <c r="I125" i="2"/>
  <c r="W124" i="2"/>
  <c r="Z124" i="2" s="1"/>
  <c r="V124" i="2"/>
  <c r="Y124" i="2"/>
  <c r="U124" i="2"/>
  <c r="X124" i="2"/>
  <c r="I124" i="2"/>
  <c r="W123" i="2"/>
  <c r="Z123" i="2"/>
  <c r="V123" i="2"/>
  <c r="Y123" i="2"/>
  <c r="U123" i="2"/>
  <c r="X123" i="2"/>
  <c r="I123" i="2"/>
  <c r="F123" i="2"/>
  <c r="W122" i="2"/>
  <c r="Z122" i="2"/>
  <c r="V122" i="2"/>
  <c r="Y122" i="2"/>
  <c r="U122" i="2"/>
  <c r="X122" i="2" s="1"/>
  <c r="F122" i="2" s="1"/>
  <c r="I122" i="2"/>
  <c r="W121" i="2"/>
  <c r="Z121" i="2" s="1"/>
  <c r="V121" i="2"/>
  <c r="Y121" i="2" s="1"/>
  <c r="U121" i="2"/>
  <c r="X121" i="2"/>
  <c r="F121" i="2" s="1"/>
  <c r="I121" i="2"/>
  <c r="W120" i="2"/>
  <c r="Z120" i="2"/>
  <c r="V120" i="2"/>
  <c r="Y120" i="2" s="1"/>
  <c r="U120" i="2"/>
  <c r="X120" i="2" s="1"/>
  <c r="I120" i="2"/>
  <c r="W119" i="2"/>
  <c r="Z119" i="2"/>
  <c r="V119" i="2"/>
  <c r="Y119" i="2"/>
  <c r="U119" i="2"/>
  <c r="X119" i="2"/>
  <c r="I119" i="2"/>
  <c r="F119" i="2"/>
  <c r="W118" i="2"/>
  <c r="Z118" i="2" s="1"/>
  <c r="V118" i="2"/>
  <c r="Y118" i="2"/>
  <c r="U118" i="2"/>
  <c r="X118" i="2"/>
  <c r="I118" i="2"/>
  <c r="W117" i="2"/>
  <c r="Z117" i="2" s="1"/>
  <c r="V117" i="2"/>
  <c r="Y117" i="2"/>
  <c r="U117" i="2"/>
  <c r="X117" i="2" s="1"/>
  <c r="F117" i="2" s="1"/>
  <c r="I117" i="2"/>
  <c r="W116" i="2"/>
  <c r="Z116" i="2"/>
  <c r="V116" i="2"/>
  <c r="Y116" i="2" s="1"/>
  <c r="U116" i="2"/>
  <c r="X116" i="2"/>
  <c r="I116" i="2"/>
  <c r="W115" i="2"/>
  <c r="Z115" i="2"/>
  <c r="V115" i="2"/>
  <c r="Y115" i="2"/>
  <c r="U115" i="2"/>
  <c r="X115" i="2" s="1"/>
  <c r="F115" i="2" s="1"/>
  <c r="I115" i="2"/>
  <c r="W114" i="2"/>
  <c r="Z114" i="2"/>
  <c r="L24" i="1" s="1"/>
  <c r="V114" i="2"/>
  <c r="Y114" i="2"/>
  <c r="U114" i="2"/>
  <c r="X114" i="2" s="1"/>
  <c r="I114" i="2"/>
  <c r="W113" i="2"/>
  <c r="Z113" i="2"/>
  <c r="V113" i="2"/>
  <c r="Y113" i="2" s="1"/>
  <c r="U113" i="2"/>
  <c r="X113" i="2"/>
  <c r="I113" i="2"/>
  <c r="F113" i="2"/>
  <c r="W112" i="2"/>
  <c r="Z112" i="2" s="1"/>
  <c r="Y112" i="2"/>
  <c r="U112" i="2"/>
  <c r="X112" i="2" s="1"/>
  <c r="F112" i="2" s="1"/>
  <c r="V112" i="2"/>
  <c r="W111" i="2"/>
  <c r="Z111" i="2"/>
  <c r="V111" i="2"/>
  <c r="Y111" i="2"/>
  <c r="U111" i="2"/>
  <c r="X111" i="2" s="1"/>
  <c r="F111" i="2" s="1"/>
  <c r="W110" i="2"/>
  <c r="Z110" i="2" s="1"/>
  <c r="Y110" i="2"/>
  <c r="U110" i="2"/>
  <c r="X110" i="2" s="1"/>
  <c r="F110" i="2" s="1"/>
  <c r="V110" i="2"/>
  <c r="W109" i="2"/>
  <c r="Z109" i="2"/>
  <c r="V109" i="2"/>
  <c r="Y109" i="2"/>
  <c r="U109" i="2"/>
  <c r="X109" i="2"/>
  <c r="F109" i="2" s="1"/>
  <c r="W108" i="2"/>
  <c r="Z108" i="2" s="1"/>
  <c r="Y108" i="2"/>
  <c r="U108" i="2"/>
  <c r="X108" i="2" s="1"/>
  <c r="F108" i="2" s="1"/>
  <c r="V108" i="2"/>
  <c r="W107" i="2"/>
  <c r="Z107" i="2"/>
  <c r="V107" i="2"/>
  <c r="Y107" i="2"/>
  <c r="U107" i="2"/>
  <c r="X107" i="2"/>
  <c r="F107" i="2" s="1"/>
  <c r="W106" i="2"/>
  <c r="Z106" i="2" s="1"/>
  <c r="Y106" i="2"/>
  <c r="U106" i="2"/>
  <c r="X106" i="2" s="1"/>
  <c r="V106" i="2"/>
  <c r="W105" i="2"/>
  <c r="Z105" i="2"/>
  <c r="V105" i="2"/>
  <c r="Y105" i="2"/>
  <c r="U105" i="2"/>
  <c r="X105" i="2" s="1"/>
  <c r="F105" i="2" s="1"/>
  <c r="W104" i="2"/>
  <c r="Z104" i="2" s="1"/>
  <c r="Y104" i="2"/>
  <c r="U104" i="2"/>
  <c r="X104" i="2" s="1"/>
  <c r="V104" i="2"/>
  <c r="W103" i="2"/>
  <c r="Z103" i="2"/>
  <c r="V103" i="2"/>
  <c r="Y103" i="2"/>
  <c r="U103" i="2"/>
  <c r="X103" i="2"/>
  <c r="F103" i="2"/>
  <c r="W102" i="2"/>
  <c r="Z102" i="2" s="1"/>
  <c r="J22" i="1" s="1"/>
  <c r="Y102" i="2"/>
  <c r="U102" i="2"/>
  <c r="X102" i="2" s="1"/>
  <c r="V102" i="2"/>
  <c r="W101" i="2"/>
  <c r="Z101" i="2"/>
  <c r="V101" i="2"/>
  <c r="Y101" i="2"/>
  <c r="U101" i="2"/>
  <c r="X101" i="2"/>
  <c r="F101" i="2" s="1"/>
  <c r="W100" i="2"/>
  <c r="Z100" i="2" s="1"/>
  <c r="V100" i="2"/>
  <c r="Y100" i="2"/>
  <c r="U100" i="2"/>
  <c r="X100" i="2"/>
  <c r="W99" i="2"/>
  <c r="Z99" i="2"/>
  <c r="V99" i="2"/>
  <c r="Y99" i="2"/>
  <c r="U99" i="2"/>
  <c r="X99" i="2"/>
  <c r="F99" i="2" s="1"/>
  <c r="W98" i="2"/>
  <c r="Z98" i="2" s="1"/>
  <c r="V98" i="2"/>
  <c r="Y98" i="2"/>
  <c r="U98" i="2"/>
  <c r="X98" i="2"/>
  <c r="F98" i="2" s="1"/>
  <c r="W97" i="2"/>
  <c r="Z97" i="2"/>
  <c r="V97" i="2"/>
  <c r="Y97" i="2"/>
  <c r="U97" i="2"/>
  <c r="X97" i="2" s="1"/>
  <c r="F97" i="2" s="1"/>
  <c r="W96" i="2"/>
  <c r="Z96" i="2" s="1"/>
  <c r="V96" i="2"/>
  <c r="Y96" i="2"/>
  <c r="U96" i="2"/>
  <c r="X96" i="2"/>
  <c r="F96" i="2" s="1"/>
  <c r="W95" i="2"/>
  <c r="Z95" i="2"/>
  <c r="V95" i="2"/>
  <c r="Y95" i="2"/>
  <c r="U95" i="2"/>
  <c r="X95" i="2"/>
  <c r="F95" i="2"/>
  <c r="W94" i="2"/>
  <c r="Z94" i="2" s="1"/>
  <c r="V94" i="2"/>
  <c r="Y94" i="2"/>
  <c r="U94" i="2"/>
  <c r="X94" i="2"/>
  <c r="W93" i="2"/>
  <c r="Z93" i="2"/>
  <c r="V93" i="2"/>
  <c r="Y93" i="2"/>
  <c r="U93" i="2"/>
  <c r="X93" i="2" s="1"/>
  <c r="F93" i="2" s="1"/>
  <c r="W92" i="2"/>
  <c r="Z92" i="2" s="1"/>
  <c r="V92" i="2"/>
  <c r="Y92" i="2" s="1"/>
  <c r="U92" i="2"/>
  <c r="X92" i="2"/>
  <c r="W91" i="2"/>
  <c r="Z91" i="2"/>
  <c r="V91" i="2"/>
  <c r="Y91" i="2"/>
  <c r="U91" i="2"/>
  <c r="X91" i="2"/>
  <c r="F91" i="2"/>
  <c r="W90" i="2"/>
  <c r="Z90" i="2" s="1"/>
  <c r="V90" i="2"/>
  <c r="Y90" i="2"/>
  <c r="U90" i="2"/>
  <c r="X90" i="2"/>
  <c r="W89" i="2"/>
  <c r="Z89" i="2"/>
  <c r="V89" i="2"/>
  <c r="Y89" i="2"/>
  <c r="U89" i="2"/>
  <c r="X89" i="2"/>
  <c r="F89" i="2"/>
  <c r="W88" i="2"/>
  <c r="Z88" i="2" s="1"/>
  <c r="V88" i="2"/>
  <c r="Y88" i="2" s="1"/>
  <c r="U88" i="2"/>
  <c r="X88" i="2"/>
  <c r="W87" i="2"/>
  <c r="Z87" i="2"/>
  <c r="V87" i="2"/>
  <c r="Y87" i="2"/>
  <c r="U87" i="2"/>
  <c r="X87" i="2"/>
  <c r="F87" i="2" s="1"/>
  <c r="W86" i="2"/>
  <c r="Z86" i="2" s="1"/>
  <c r="V86" i="2"/>
  <c r="Y86" i="2"/>
  <c r="U86" i="2"/>
  <c r="X86" i="2"/>
  <c r="W85" i="2"/>
  <c r="Z85" i="2"/>
  <c r="L20" i="1" s="1"/>
  <c r="V85" i="2"/>
  <c r="Y85" i="2"/>
  <c r="U85" i="2"/>
  <c r="X85" i="2"/>
  <c r="F85" i="2" s="1"/>
  <c r="W84" i="2"/>
  <c r="Z84" i="2" s="1"/>
  <c r="V84" i="2"/>
  <c r="Y84" i="2"/>
  <c r="K19" i="1" s="1"/>
  <c r="U84" i="2"/>
  <c r="X84" i="2"/>
  <c r="F84" i="2" s="1"/>
  <c r="W83" i="2"/>
  <c r="Z83" i="2"/>
  <c r="L18" i="1" s="1"/>
  <c r="V83" i="2"/>
  <c r="Y83" i="2"/>
  <c r="K18" i="1" s="1"/>
  <c r="U83" i="2"/>
  <c r="X83" i="2" s="1"/>
  <c r="W82" i="2"/>
  <c r="Z82" i="2" s="1"/>
  <c r="V82" i="2"/>
  <c r="Y82" i="2"/>
  <c r="U82" i="2"/>
  <c r="X82" i="2"/>
  <c r="F82" i="2" s="1"/>
  <c r="W81" i="2"/>
  <c r="Z81" i="2"/>
  <c r="Y81" i="2"/>
  <c r="U81" i="2"/>
  <c r="X81" i="2"/>
  <c r="V81" i="2"/>
  <c r="F81" i="2"/>
  <c r="W80" i="2"/>
  <c r="Z80" i="2" s="1"/>
  <c r="V80" i="2"/>
  <c r="Y80" i="2"/>
  <c r="F80" i="2" s="1"/>
  <c r="U80" i="2"/>
  <c r="X80" i="2"/>
  <c r="I80" i="2"/>
  <c r="W79" i="2"/>
  <c r="Z79" i="2" s="1"/>
  <c r="V79" i="2"/>
  <c r="Y79" i="2"/>
  <c r="U79" i="2"/>
  <c r="X79" i="2" s="1"/>
  <c r="F79" i="2" s="1"/>
  <c r="W78" i="2"/>
  <c r="Z78" i="2" s="1"/>
  <c r="Y78" i="2"/>
  <c r="U78" i="2"/>
  <c r="X78" i="2" s="1"/>
  <c r="V78" i="2"/>
  <c r="W77" i="2"/>
  <c r="Z77" i="2" s="1"/>
  <c r="V77" i="2"/>
  <c r="Y77" i="2"/>
  <c r="U77" i="2"/>
  <c r="X77" i="2"/>
  <c r="I77" i="2"/>
  <c r="F77" i="2"/>
  <c r="W76" i="2"/>
  <c r="Z76" i="2" s="1"/>
  <c r="V76" i="2"/>
  <c r="Y76" i="2"/>
  <c r="U76" i="2"/>
  <c r="X76" i="2"/>
  <c r="F76" i="2" s="1"/>
  <c r="W75" i="2"/>
  <c r="Z75" i="2"/>
  <c r="Y75" i="2"/>
  <c r="U75" i="2"/>
  <c r="X75" i="2"/>
  <c r="V75" i="2"/>
  <c r="F75" i="2"/>
  <c r="W74" i="2"/>
  <c r="Z74" i="2" s="1"/>
  <c r="V74" i="2"/>
  <c r="Y74" i="2"/>
  <c r="U74" i="2"/>
  <c r="X74" i="2"/>
  <c r="I74" i="2"/>
  <c r="W73" i="2"/>
  <c r="Z73" i="2"/>
  <c r="V73" i="2"/>
  <c r="Y73" i="2"/>
  <c r="U73" i="2"/>
  <c r="X73" i="2"/>
  <c r="F73" i="2" s="1"/>
  <c r="W72" i="2"/>
  <c r="Z72" i="2" s="1"/>
  <c r="Y72" i="2"/>
  <c r="U72" i="2"/>
  <c r="X72" i="2" s="1"/>
  <c r="F72" i="2" s="1"/>
  <c r="V72" i="2"/>
  <c r="W71" i="2"/>
  <c r="Z71" i="2"/>
  <c r="V71" i="2"/>
  <c r="Y71" i="2"/>
  <c r="U71" i="2"/>
  <c r="X71" i="2" s="1"/>
  <c r="F71" i="2" s="1"/>
  <c r="I71" i="2"/>
  <c r="W70" i="2"/>
  <c r="Z70" i="2" s="1"/>
  <c r="V70" i="2"/>
  <c r="Y70" i="2"/>
  <c r="F70" i="2" s="1"/>
  <c r="U70" i="2"/>
  <c r="X70" i="2" s="1"/>
  <c r="W69" i="2"/>
  <c r="Z69" i="2"/>
  <c r="Y69" i="2"/>
  <c r="U69" i="2"/>
  <c r="X69" i="2"/>
  <c r="F69" i="2" s="1"/>
  <c r="V69" i="2"/>
  <c r="W68" i="2"/>
  <c r="Z68" i="2"/>
  <c r="V68" i="2"/>
  <c r="Y68" i="2"/>
  <c r="U68" i="2"/>
  <c r="X68" i="2" s="1"/>
  <c r="I68" i="2"/>
  <c r="W67" i="2"/>
  <c r="Z67" i="2"/>
  <c r="V67" i="2"/>
  <c r="Y67" i="2" s="1"/>
  <c r="U67" i="2"/>
  <c r="X67" i="2"/>
  <c r="J17" i="1" s="1"/>
  <c r="W66" i="2"/>
  <c r="Z66" i="2" s="1"/>
  <c r="J16" i="1" s="1"/>
  <c r="Y66" i="2"/>
  <c r="U66" i="2"/>
  <c r="X66" i="2" s="1"/>
  <c r="V66" i="2"/>
  <c r="W65" i="2"/>
  <c r="Z65" i="2" s="1"/>
  <c r="V65" i="2"/>
  <c r="Y65" i="2"/>
  <c r="K15" i="1" s="1"/>
  <c r="U65" i="2"/>
  <c r="X65" i="2"/>
  <c r="F65" i="2" s="1"/>
  <c r="I65" i="2"/>
  <c r="W64" i="2"/>
  <c r="Z64" i="2"/>
  <c r="V64" i="2"/>
  <c r="Y64" i="2" s="1"/>
  <c r="U64" i="2"/>
  <c r="X64" i="2"/>
  <c r="W63" i="2"/>
  <c r="Z63" i="2" s="1"/>
  <c r="V63" i="2"/>
  <c r="Y63" i="2"/>
  <c r="U63" i="2"/>
  <c r="X63" i="2"/>
  <c r="F63" i="2"/>
  <c r="W62" i="2"/>
  <c r="Z62" i="2" s="1"/>
  <c r="V62" i="2"/>
  <c r="Y62" i="2" s="1"/>
  <c r="U62" i="2"/>
  <c r="X62" i="2"/>
  <c r="W61" i="2"/>
  <c r="Z61" i="2" s="1"/>
  <c r="V61" i="2"/>
  <c r="Y61" i="2"/>
  <c r="U61" i="2"/>
  <c r="X61" i="2"/>
  <c r="F61" i="2" s="1"/>
  <c r="W60" i="2"/>
  <c r="Z60" i="2"/>
  <c r="V60" i="2"/>
  <c r="Y60" i="2" s="1"/>
  <c r="U60" i="2"/>
  <c r="X60" i="2" s="1"/>
  <c r="F60" i="2" s="1"/>
  <c r="W59" i="2"/>
  <c r="Z59" i="2" s="1"/>
  <c r="V59" i="2"/>
  <c r="Y59" i="2"/>
  <c r="K14" i="1" s="1"/>
  <c r="U59" i="2"/>
  <c r="X59" i="2" s="1"/>
  <c r="W58" i="2"/>
  <c r="Z58" i="2"/>
  <c r="V58" i="2"/>
  <c r="Y58" i="2" s="1"/>
  <c r="U58" i="2"/>
  <c r="X58" i="2"/>
  <c r="F58" i="2" s="1"/>
  <c r="W57" i="2"/>
  <c r="Z57" i="2" s="1"/>
  <c r="V57" i="2"/>
  <c r="Y57" i="2"/>
  <c r="U57" i="2"/>
  <c r="X57" i="2"/>
  <c r="F57" i="2"/>
  <c r="W56" i="2"/>
  <c r="Z56" i="2" s="1"/>
  <c r="V56" i="2"/>
  <c r="Y56" i="2" s="1"/>
  <c r="U56" i="2"/>
  <c r="X56" i="2"/>
  <c r="W55" i="2"/>
  <c r="Z55" i="2" s="1"/>
  <c r="V55" i="2"/>
  <c r="Y55" i="2"/>
  <c r="U55" i="2"/>
  <c r="X55" i="2"/>
  <c r="F55" i="2" s="1"/>
  <c r="W54" i="2"/>
  <c r="Z54" i="2"/>
  <c r="V54" i="2"/>
  <c r="Y54" i="2" s="1"/>
  <c r="U54" i="2"/>
  <c r="X54" i="2" s="1"/>
  <c r="F54" i="2" s="1"/>
  <c r="W53" i="2"/>
  <c r="Z53" i="2" s="1"/>
  <c r="V53" i="2"/>
  <c r="Y53" i="2"/>
  <c r="U53" i="2"/>
  <c r="X53" i="2"/>
  <c r="F53" i="2"/>
  <c r="W52" i="2"/>
  <c r="Z52" i="2"/>
  <c r="V52" i="2"/>
  <c r="Y52" i="2" s="1"/>
  <c r="U52" i="2"/>
  <c r="X52" i="2"/>
  <c r="F52" i="2" s="1"/>
  <c r="W51" i="2"/>
  <c r="Z51" i="2" s="1"/>
  <c r="V51" i="2"/>
  <c r="Y51" i="2"/>
  <c r="U51" i="2"/>
  <c r="X51" i="2" s="1"/>
  <c r="F51" i="2" s="1"/>
  <c r="W50" i="2"/>
  <c r="Z50" i="2"/>
  <c r="V50" i="2"/>
  <c r="Y50" i="2" s="1"/>
  <c r="U50" i="2"/>
  <c r="X50" i="2"/>
  <c r="F50" i="2" s="1"/>
  <c r="W49" i="2"/>
  <c r="Z49" i="2" s="1"/>
  <c r="V49" i="2"/>
  <c r="Y49" i="2"/>
  <c r="U49" i="2"/>
  <c r="X49" i="2" s="1"/>
  <c r="F49" i="2" s="1"/>
  <c r="W48" i="2"/>
  <c r="Z48" i="2" s="1"/>
  <c r="L13" i="1" s="1"/>
  <c r="V48" i="2"/>
  <c r="Y48" i="2" s="1"/>
  <c r="K13" i="1" s="1"/>
  <c r="U48" i="2"/>
  <c r="X48" i="2"/>
  <c r="W47" i="2"/>
  <c r="Z47" i="2" s="1"/>
  <c r="L12" i="1" s="1"/>
  <c r="V47" i="2"/>
  <c r="Y47" i="2"/>
  <c r="K12" i="1" s="1"/>
  <c r="U47" i="2"/>
  <c r="X47" i="2"/>
  <c r="J12" i="1" s="1"/>
  <c r="F47" i="2"/>
  <c r="W46" i="2"/>
  <c r="Z46" i="2" s="1"/>
  <c r="V46" i="2"/>
  <c r="Y46" i="2" s="1"/>
  <c r="U46" i="2"/>
  <c r="X46" i="2" s="1"/>
  <c r="I46" i="2"/>
  <c r="W45" i="2"/>
  <c r="Z45" i="2"/>
  <c r="V45" i="2"/>
  <c r="Y45" i="2"/>
  <c r="U45" i="2"/>
  <c r="X45" i="2" s="1"/>
  <c r="F45" i="2" s="1"/>
  <c r="I45" i="2"/>
  <c r="W44" i="2"/>
  <c r="Z44" i="2" s="1"/>
  <c r="V44" i="2"/>
  <c r="Y44" i="2" s="1"/>
  <c r="F44" i="2" s="1"/>
  <c r="U44" i="2"/>
  <c r="X44" i="2"/>
  <c r="I44" i="2"/>
  <c r="W43" i="2"/>
  <c r="Z43" i="2"/>
  <c r="V43" i="2"/>
  <c r="Y43" i="2"/>
  <c r="U43" i="2"/>
  <c r="X43" i="2" s="1"/>
  <c r="F43" i="2" s="1"/>
  <c r="I43" i="2"/>
  <c r="W42" i="2"/>
  <c r="Z42" i="2"/>
  <c r="F42" i="2" s="1"/>
  <c r="V42" i="2"/>
  <c r="Y42" i="2"/>
  <c r="U42" i="2"/>
  <c r="X42" i="2"/>
  <c r="I42" i="2"/>
  <c r="W41" i="2"/>
  <c r="Z41" i="2"/>
  <c r="V41" i="2"/>
  <c r="Y41" i="2"/>
  <c r="U41" i="2"/>
  <c r="X41" i="2" s="1"/>
  <c r="I41" i="2"/>
  <c r="F41" i="2"/>
  <c r="W40" i="2"/>
  <c r="Z40" i="2"/>
  <c r="V40" i="2"/>
  <c r="Y40" i="2"/>
  <c r="U40" i="2"/>
  <c r="X40" i="2"/>
  <c r="I40" i="2"/>
  <c r="F40" i="2"/>
  <c r="W39" i="2"/>
  <c r="Z39" i="2"/>
  <c r="V39" i="2"/>
  <c r="Y39" i="2" s="1"/>
  <c r="U39" i="2"/>
  <c r="X39" i="2"/>
  <c r="I39" i="2"/>
  <c r="W38" i="2"/>
  <c r="Z38" i="2"/>
  <c r="V38" i="2"/>
  <c r="Y38" i="2"/>
  <c r="U38" i="2"/>
  <c r="X38" i="2"/>
  <c r="I38" i="2"/>
  <c r="F38" i="2"/>
  <c r="W37" i="2"/>
  <c r="Z37" i="2" s="1"/>
  <c r="V37" i="2"/>
  <c r="Y37" i="2"/>
  <c r="F37" i="2" s="1"/>
  <c r="U37" i="2"/>
  <c r="X37" i="2"/>
  <c r="I37" i="2"/>
  <c r="W36" i="2"/>
  <c r="Z36" i="2" s="1"/>
  <c r="L11" i="1" s="1"/>
  <c r="V36" i="2"/>
  <c r="Y36" i="2"/>
  <c r="U36" i="2"/>
  <c r="X36" i="2"/>
  <c r="I36" i="2"/>
  <c r="W35" i="2"/>
  <c r="Z35" i="2"/>
  <c r="L10" i="1" s="1"/>
  <c r="V35" i="2"/>
  <c r="Y35" i="2"/>
  <c r="U35" i="2"/>
  <c r="X35" i="2"/>
  <c r="I35" i="2"/>
  <c r="F35" i="2"/>
  <c r="W34" i="2"/>
  <c r="Z34" i="2" s="1"/>
  <c r="F34" i="2" s="1"/>
  <c r="Y34" i="2"/>
  <c r="U34" i="2"/>
  <c r="X34" i="2"/>
  <c r="V34" i="2"/>
  <c r="W33" i="2"/>
  <c r="Z33" i="2" s="1"/>
  <c r="Y33" i="2"/>
  <c r="U33" i="2"/>
  <c r="X33" i="2"/>
  <c r="V33" i="2"/>
  <c r="I33" i="2"/>
  <c r="F33" i="2"/>
  <c r="W32" i="2"/>
  <c r="Z32" i="2" s="1"/>
  <c r="Y32" i="2"/>
  <c r="U32" i="2"/>
  <c r="X32" i="2" s="1"/>
  <c r="V32" i="2"/>
  <c r="I32" i="2"/>
  <c r="W31" i="2"/>
  <c r="Z31" i="2" s="1"/>
  <c r="Y31" i="2"/>
  <c r="U31" i="2"/>
  <c r="X31" i="2"/>
  <c r="F31" i="2" s="1"/>
  <c r="V31" i="2"/>
  <c r="W30" i="2"/>
  <c r="Z30" i="2"/>
  <c r="Y30" i="2"/>
  <c r="U30" i="2"/>
  <c r="X30" i="2"/>
  <c r="V30" i="2"/>
  <c r="I30" i="2"/>
  <c r="W29" i="2"/>
  <c r="Z29" i="2"/>
  <c r="Y29" i="2"/>
  <c r="U29" i="2"/>
  <c r="X29" i="2"/>
  <c r="V29" i="2"/>
  <c r="I29" i="2"/>
  <c r="F29" i="2"/>
  <c r="W28" i="2"/>
  <c r="Z28" i="2" s="1"/>
  <c r="Y28" i="2"/>
  <c r="U28" i="2"/>
  <c r="X28" i="2" s="1"/>
  <c r="V28" i="2"/>
  <c r="W27" i="2"/>
  <c r="Z27" i="2"/>
  <c r="Y27" i="2"/>
  <c r="U27" i="2"/>
  <c r="X27" i="2"/>
  <c r="F27" i="2" s="1"/>
  <c r="V27" i="2"/>
  <c r="I27" i="2"/>
  <c r="W26" i="2"/>
  <c r="Z26" i="2"/>
  <c r="F26" i="2" s="1"/>
  <c r="Y26" i="2"/>
  <c r="U26" i="2"/>
  <c r="X26" i="2"/>
  <c r="V26" i="2"/>
  <c r="I26" i="2"/>
  <c r="W25" i="2"/>
  <c r="Z25" i="2"/>
  <c r="Y25" i="2"/>
  <c r="U25" i="2"/>
  <c r="X25" i="2"/>
  <c r="F25" i="2" s="1"/>
  <c r="V25" i="2"/>
  <c r="W24" i="2"/>
  <c r="Z24" i="2"/>
  <c r="Y24" i="2"/>
  <c r="U24" i="2"/>
  <c r="X24" i="2" s="1"/>
  <c r="F24" i="2" s="1"/>
  <c r="V24" i="2"/>
  <c r="I24" i="2"/>
  <c r="W23" i="2"/>
  <c r="Z23" i="2" s="1"/>
  <c r="Y23" i="2"/>
  <c r="U23" i="2"/>
  <c r="X23" i="2"/>
  <c r="F23" i="2" s="1"/>
  <c r="V23" i="2"/>
  <c r="I23" i="2"/>
  <c r="W22" i="2"/>
  <c r="Z22" i="2"/>
  <c r="Y22" i="2"/>
  <c r="U22" i="2"/>
  <c r="X22" i="2"/>
  <c r="F22" i="2" s="1"/>
  <c r="V22" i="2"/>
  <c r="W21" i="2"/>
  <c r="Z21" i="2"/>
  <c r="Y21" i="2"/>
  <c r="U21" i="2"/>
  <c r="X21" i="2" s="1"/>
  <c r="F21" i="2" s="1"/>
  <c r="V21" i="2"/>
  <c r="I21" i="2"/>
  <c r="W20" i="2"/>
  <c r="Z20" i="2" s="1"/>
  <c r="Y20" i="2"/>
  <c r="U20" i="2"/>
  <c r="X20" i="2" s="1"/>
  <c r="F20" i="2" s="1"/>
  <c r="V20" i="2"/>
  <c r="I20" i="2"/>
  <c r="W19" i="2"/>
  <c r="Z19" i="2" s="1"/>
  <c r="J9" i="1" s="1"/>
  <c r="Y19" i="2"/>
  <c r="U19" i="2"/>
  <c r="X19" i="2"/>
  <c r="V19" i="2"/>
  <c r="W18" i="2"/>
  <c r="Z18" i="2"/>
  <c r="J8" i="1" s="1"/>
  <c r="Y18" i="2"/>
  <c r="U18" i="2"/>
  <c r="X18" i="2" s="1"/>
  <c r="V18" i="2"/>
  <c r="I18" i="2"/>
  <c r="W17" i="2"/>
  <c r="Z17" i="2" s="1"/>
  <c r="Y17" i="2"/>
  <c r="U17" i="2"/>
  <c r="X17" i="2" s="1"/>
  <c r="F17" i="2" s="1"/>
  <c r="V17" i="2"/>
  <c r="I17" i="2"/>
  <c r="W16" i="2"/>
  <c r="Z16" i="2" s="1"/>
  <c r="V16" i="2"/>
  <c r="Y16" i="2"/>
  <c r="U16" i="2"/>
  <c r="X16" i="2" s="1"/>
  <c r="F16" i="2" s="1"/>
  <c r="I16" i="2"/>
  <c r="W15" i="2"/>
  <c r="Z15" i="2" s="1"/>
  <c r="F15" i="2" s="1"/>
  <c r="V15" i="2"/>
  <c r="Y15" i="2"/>
  <c r="U15" i="2"/>
  <c r="X15" i="2"/>
  <c r="I15" i="2"/>
  <c r="W14" i="2"/>
  <c r="Z14" i="2"/>
  <c r="V14" i="2"/>
  <c r="Y14" i="2"/>
  <c r="F14" i="2" s="1"/>
  <c r="U14" i="2"/>
  <c r="X14" i="2" s="1"/>
  <c r="I14" i="2"/>
  <c r="W13" i="2"/>
  <c r="Z13" i="2"/>
  <c r="V13" i="2"/>
  <c r="Y13" i="2"/>
  <c r="U13" i="2"/>
  <c r="X13" i="2"/>
  <c r="F13" i="2" s="1"/>
  <c r="I13" i="2"/>
  <c r="W12" i="2"/>
  <c r="Z12" i="2"/>
  <c r="V12" i="2"/>
  <c r="Y12" i="2" s="1"/>
  <c r="U12" i="2"/>
  <c r="X12" i="2"/>
  <c r="I12" i="2"/>
  <c r="W11" i="2"/>
  <c r="Z11" i="2"/>
  <c r="V11" i="2"/>
  <c r="Y11" i="2"/>
  <c r="U11" i="2"/>
  <c r="X11" i="2"/>
  <c r="F11" i="2" s="1"/>
  <c r="I11" i="2"/>
  <c r="W10" i="2"/>
  <c r="Z10" i="2" s="1"/>
  <c r="V10" i="2"/>
  <c r="Y10" i="2"/>
  <c r="F10" i="2" s="1"/>
  <c r="U10" i="2"/>
  <c r="X10" i="2"/>
  <c r="I10" i="2"/>
  <c r="W9" i="2"/>
  <c r="Z9" i="2"/>
  <c r="V9" i="2"/>
  <c r="Y9" i="2"/>
  <c r="U9" i="2"/>
  <c r="X9" i="2"/>
  <c r="F9" i="2" s="1"/>
  <c r="I9" i="2"/>
  <c r="W8" i="2"/>
  <c r="Z8" i="2"/>
  <c r="F8" i="2" s="1"/>
  <c r="V8" i="2"/>
  <c r="Y8" i="2"/>
  <c r="U8" i="2"/>
  <c r="X8" i="2"/>
  <c r="I8" i="2"/>
  <c r="W7" i="2"/>
  <c r="Z7" i="2" s="1"/>
  <c r="V7" i="2"/>
  <c r="Y7" i="2"/>
  <c r="U7" i="2"/>
  <c r="X7" i="2" s="1"/>
  <c r="F7" i="2" s="1"/>
  <c r="I7" i="2"/>
  <c r="W6" i="2"/>
  <c r="Z6" i="2"/>
  <c r="V6" i="2"/>
  <c r="Y6" i="2"/>
  <c r="U6" i="2"/>
  <c r="X6" i="2"/>
  <c r="F6" i="2" s="1"/>
  <c r="I6" i="2"/>
  <c r="W5" i="2"/>
  <c r="Z5" i="2"/>
  <c r="L5" i="1" s="1"/>
  <c r="V5" i="2"/>
  <c r="Y5" i="2" s="1"/>
  <c r="K5" i="1" s="1"/>
  <c r="U5" i="2"/>
  <c r="X5" i="2"/>
  <c r="I5" i="2"/>
  <c r="M63" i="1"/>
  <c r="L63" i="1"/>
  <c r="K63" i="1"/>
  <c r="H63" i="1"/>
  <c r="H62" i="1"/>
  <c r="M62" i="1"/>
  <c r="L62" i="1"/>
  <c r="K62" i="1"/>
  <c r="J62" i="1"/>
  <c r="I61" i="1"/>
  <c r="M60" i="1"/>
  <c r="J60" i="1"/>
  <c r="H60" i="1"/>
  <c r="H59" i="1"/>
  <c r="M59" i="1"/>
  <c r="L59" i="1"/>
  <c r="K59" i="1"/>
  <c r="M58" i="1"/>
  <c r="L58" i="1"/>
  <c r="K58" i="1"/>
  <c r="J58" i="1"/>
  <c r="H58" i="1"/>
  <c r="H57" i="1"/>
  <c r="M57" i="1"/>
  <c r="K57" i="1"/>
  <c r="I57" i="1" s="1"/>
  <c r="J57" i="1"/>
  <c r="M56" i="1"/>
  <c r="L56" i="1"/>
  <c r="K56" i="1"/>
  <c r="H56" i="1"/>
  <c r="M55" i="1"/>
  <c r="L55" i="1"/>
  <c r="K55" i="1"/>
  <c r="J55" i="1"/>
  <c r="H55" i="1"/>
  <c r="M54" i="1"/>
  <c r="L54" i="1"/>
  <c r="H54" i="1"/>
  <c r="M53" i="1"/>
  <c r="L53" i="1"/>
  <c r="K53" i="1"/>
  <c r="J53" i="1"/>
  <c r="H53" i="1"/>
  <c r="M52" i="1"/>
  <c r="L52" i="1"/>
  <c r="H52" i="1"/>
  <c r="M51" i="1"/>
  <c r="L51" i="1"/>
  <c r="K51" i="1"/>
  <c r="J51" i="1"/>
  <c r="H51" i="1"/>
  <c r="H50" i="1"/>
  <c r="M50" i="1"/>
  <c r="M49" i="1"/>
  <c r="L49" i="1"/>
  <c r="H49" i="1"/>
  <c r="M48" i="1"/>
  <c r="L48" i="1"/>
  <c r="K48" i="1"/>
  <c r="J48" i="1"/>
  <c r="H48" i="1"/>
  <c r="M47" i="1"/>
  <c r="L47" i="1"/>
  <c r="K47" i="1"/>
  <c r="J47" i="1"/>
  <c r="H47" i="1"/>
  <c r="M46" i="1"/>
  <c r="J46" i="1"/>
  <c r="H46" i="1"/>
  <c r="H45" i="1"/>
  <c r="M45" i="1"/>
  <c r="L45" i="1"/>
  <c r="K45" i="1"/>
  <c r="J45" i="1"/>
  <c r="M44" i="1"/>
  <c r="H44" i="1"/>
  <c r="M43" i="1"/>
  <c r="L43" i="1"/>
  <c r="K43" i="1"/>
  <c r="J43" i="1"/>
  <c r="H43" i="1"/>
  <c r="H42" i="1"/>
  <c r="L42" i="1"/>
  <c r="K42" i="1"/>
  <c r="J42" i="1"/>
  <c r="M41" i="1"/>
  <c r="K41" i="1"/>
  <c r="H41" i="1"/>
  <c r="H40" i="1"/>
  <c r="M40" i="1"/>
  <c r="L40" i="1"/>
  <c r="H39" i="1"/>
  <c r="M39" i="1"/>
  <c r="L39" i="1"/>
  <c r="K39" i="1"/>
  <c r="J39" i="1"/>
  <c r="M38" i="1"/>
  <c r="H38" i="1"/>
  <c r="M37" i="1"/>
  <c r="L37" i="1"/>
  <c r="K37" i="1"/>
  <c r="J37" i="1"/>
  <c r="H37" i="1"/>
  <c r="M36" i="1"/>
  <c r="L36" i="1"/>
  <c r="K36" i="1"/>
  <c r="J36" i="1"/>
  <c r="H36" i="1"/>
  <c r="H35" i="1"/>
  <c r="M35" i="1"/>
  <c r="L35" i="1"/>
  <c r="K35" i="1"/>
  <c r="J35" i="1"/>
  <c r="I35" i="1"/>
  <c r="M34" i="1"/>
  <c r="L34" i="1"/>
  <c r="K34" i="1"/>
  <c r="J34" i="1"/>
  <c r="H34" i="1"/>
  <c r="L33" i="1"/>
  <c r="K33" i="1"/>
  <c r="H33" i="1"/>
  <c r="L32" i="1"/>
  <c r="K32" i="1"/>
  <c r="J32" i="1"/>
  <c r="H32" i="1"/>
  <c r="M31" i="1"/>
  <c r="L31" i="1"/>
  <c r="K31" i="1"/>
  <c r="H31" i="1"/>
  <c r="H30" i="1"/>
  <c r="L30" i="1"/>
  <c r="K30" i="1"/>
  <c r="H29" i="1"/>
  <c r="M29" i="1"/>
  <c r="L29" i="1"/>
  <c r="K29" i="1"/>
  <c r="J29" i="1"/>
  <c r="M28" i="1"/>
  <c r="L28" i="1"/>
  <c r="K28" i="1"/>
  <c r="H28" i="1"/>
  <c r="L27" i="1"/>
  <c r="K27" i="1"/>
  <c r="J27" i="1"/>
  <c r="H27" i="1"/>
  <c r="L26" i="1"/>
  <c r="K26" i="1"/>
  <c r="J26" i="1"/>
  <c r="H26" i="1"/>
  <c r="H25" i="1"/>
  <c r="M25" i="1"/>
  <c r="L25" i="1"/>
  <c r="M24" i="1"/>
  <c r="K24" i="1"/>
  <c r="J24" i="1"/>
  <c r="H24" i="1"/>
  <c r="H23" i="1"/>
  <c r="M23" i="1"/>
  <c r="L23" i="1"/>
  <c r="K23" i="1"/>
  <c r="J23" i="1"/>
  <c r="M22" i="1"/>
  <c r="L22" i="1"/>
  <c r="K22" i="1"/>
  <c r="H22" i="1"/>
  <c r="H21" i="1"/>
  <c r="M21" i="1"/>
  <c r="L21" i="1"/>
  <c r="K21" i="1"/>
  <c r="J21" i="1"/>
  <c r="M20" i="1"/>
  <c r="K20" i="1"/>
  <c r="J20" i="1"/>
  <c r="H20" i="1"/>
  <c r="M19" i="1"/>
  <c r="L19" i="1"/>
  <c r="J19" i="1"/>
  <c r="H19" i="1"/>
  <c r="H18" i="1"/>
  <c r="M18" i="1"/>
  <c r="M17" i="1"/>
  <c r="L17" i="1"/>
  <c r="H17" i="1"/>
  <c r="M16" i="1"/>
  <c r="L16" i="1"/>
  <c r="K16" i="1"/>
  <c r="H16" i="1"/>
  <c r="H15" i="1"/>
  <c r="M15" i="1"/>
  <c r="L15" i="1"/>
  <c r="H14" i="1"/>
  <c r="M14" i="1"/>
  <c r="L14" i="1"/>
  <c r="M13" i="1"/>
  <c r="H13" i="1"/>
  <c r="H12" i="1"/>
  <c r="M12" i="1"/>
  <c r="M11" i="1"/>
  <c r="K11" i="1"/>
  <c r="J11" i="1"/>
  <c r="H11" i="1"/>
  <c r="H10" i="1"/>
  <c r="M10" i="1"/>
  <c r="K10" i="1"/>
  <c r="J10" i="1"/>
  <c r="L9" i="1"/>
  <c r="K9" i="1"/>
  <c r="H9" i="1"/>
  <c r="L8" i="1"/>
  <c r="K8" i="1"/>
  <c r="H8" i="1"/>
  <c r="H7" i="1"/>
  <c r="M7" i="1"/>
  <c r="L7" i="1"/>
  <c r="K7" i="1"/>
  <c r="J7" i="1"/>
  <c r="M6" i="1"/>
  <c r="L6" i="1"/>
  <c r="K6" i="1"/>
  <c r="J6" i="1"/>
  <c r="H6" i="1"/>
  <c r="H5" i="1"/>
  <c r="M5" i="1"/>
  <c r="F18" i="2" l="1"/>
  <c r="M8" i="1"/>
  <c r="K17" i="1"/>
  <c r="F67" i="2"/>
  <c r="F279" i="2"/>
  <c r="J54" i="1"/>
  <c r="F155" i="2"/>
  <c r="M30" i="1"/>
  <c r="I30" i="1" s="1"/>
  <c r="J14" i="1"/>
  <c r="I14" i="1" s="1"/>
  <c r="F59" i="2"/>
  <c r="J18" i="1"/>
  <c r="I18" i="1" s="1"/>
  <c r="F83" i="2"/>
  <c r="F46" i="2"/>
  <c r="F184" i="2"/>
  <c r="F283" i="2"/>
  <c r="F140" i="2"/>
  <c r="F30" i="2"/>
  <c r="F64" i="2"/>
  <c r="F92" i="2"/>
  <c r="F116" i="2"/>
  <c r="F134" i="2"/>
  <c r="F214" i="2"/>
  <c r="F240" i="2"/>
  <c r="F339" i="2"/>
  <c r="I54" i="1"/>
  <c r="F19" i="2"/>
  <c r="J15" i="1"/>
  <c r="I15" i="1" s="1"/>
  <c r="F48" i="2"/>
  <c r="I63" i="1"/>
  <c r="F12" i="2"/>
  <c r="F28" i="2"/>
  <c r="F114" i="2"/>
  <c r="F125" i="2"/>
  <c r="F200" i="2"/>
  <c r="F202" i="2"/>
  <c r="F233" i="2"/>
  <c r="F299" i="2"/>
  <c r="F301" i="2"/>
  <c r="F321" i="2"/>
  <c r="F212" i="2"/>
  <c r="F231" i="2"/>
  <c r="F5" i="2"/>
  <c r="J5" i="1"/>
  <c r="F225" i="2"/>
  <c r="I16" i="1"/>
  <c r="J13" i="1"/>
  <c r="I13" i="1" s="1"/>
  <c r="L50" i="1"/>
  <c r="F78" i="2"/>
  <c r="F90" i="2"/>
  <c r="F104" i="2"/>
  <c r="J49" i="1"/>
  <c r="I49" i="1" s="1"/>
  <c r="F249" i="2"/>
  <c r="F261" i="2"/>
  <c r="J52" i="1"/>
  <c r="F277" i="2"/>
  <c r="F304" i="2"/>
  <c r="F88" i="2"/>
  <c r="F128" i="2"/>
  <c r="F130" i="2"/>
  <c r="F158" i="2"/>
  <c r="F229" i="2"/>
  <c r="F348" i="2"/>
  <c r="J44" i="1"/>
  <c r="I44" i="1" s="1"/>
  <c r="I51" i="1"/>
  <c r="F39" i="2"/>
  <c r="F102" i="2"/>
  <c r="F156" i="2"/>
  <c r="F215" i="2"/>
  <c r="F252" i="2"/>
  <c r="F324" i="2"/>
  <c r="F86" i="2"/>
  <c r="F100" i="2"/>
  <c r="F154" i="2"/>
  <c r="F291" i="2"/>
  <c r="F295" i="2"/>
  <c r="F313" i="2"/>
  <c r="F315" i="2"/>
  <c r="F317" i="2"/>
  <c r="F336" i="2"/>
  <c r="F351" i="2"/>
  <c r="M26" i="1"/>
  <c r="I26" i="1" s="1"/>
  <c r="F171" i="2"/>
  <c r="F206" i="2"/>
  <c r="F218" i="2"/>
  <c r="M42" i="1"/>
  <c r="F68" i="2"/>
  <c r="F152" i="2"/>
  <c r="F260" i="2"/>
  <c r="F285" i="2"/>
  <c r="F303" i="2"/>
  <c r="F338" i="2"/>
  <c r="F62" i="2"/>
  <c r="F148" i="2"/>
  <c r="F167" i="2"/>
  <c r="F173" i="2"/>
  <c r="F208" i="2"/>
  <c r="F124" i="2"/>
  <c r="M33" i="1"/>
  <c r="F56" i="2"/>
  <c r="F94" i="2"/>
  <c r="F118" i="2"/>
  <c r="F120" i="2"/>
  <c r="F127" i="2"/>
  <c r="F150" i="2"/>
  <c r="F180" i="2"/>
  <c r="F182" i="2"/>
  <c r="F204" i="2"/>
  <c r="J41" i="1"/>
  <c r="I41" i="1" s="1"/>
  <c r="F216" i="2"/>
  <c r="F221" i="2"/>
  <c r="F258" i="2"/>
  <c r="K60" i="1"/>
  <c r="F330" i="2"/>
  <c r="F36" i="2"/>
  <c r="M9" i="1"/>
  <c r="I43" i="1"/>
  <c r="F32" i="2"/>
  <c r="F66" i="2"/>
  <c r="F106" i="2"/>
  <c r="F178" i="2"/>
  <c r="F242" i="2"/>
  <c r="F294" i="2"/>
  <c r="F323" i="2"/>
  <c r="F256" i="2"/>
  <c r="F270" i="2"/>
  <c r="F319" i="2"/>
  <c r="F355" i="2"/>
  <c r="F226" i="2"/>
  <c r="F243" i="2"/>
  <c r="I19" i="1"/>
  <c r="F74" i="2"/>
  <c r="F191" i="2"/>
  <c r="F305" i="2"/>
  <c r="F333" i="2"/>
  <c r="F344" i="2"/>
  <c r="I22" i="1"/>
  <c r="I33" i="1"/>
  <c r="F237" i="2"/>
  <c r="F264" i="2"/>
  <c r="F297" i="2"/>
  <c r="F357" i="2"/>
  <c r="I6" i="1"/>
  <c r="I17" i="1"/>
  <c r="I56" i="1"/>
  <c r="I48" i="1"/>
  <c r="I45" i="1"/>
  <c r="I60" i="1"/>
  <c r="I11" i="1"/>
  <c r="I36" i="1"/>
  <c r="I31" i="1"/>
  <c r="I40" i="1"/>
  <c r="I9" i="1"/>
  <c r="I34" i="1"/>
  <c r="I8" i="1"/>
  <c r="I28" i="1"/>
  <c r="I7" i="1"/>
  <c r="I23" i="1"/>
  <c r="I12" i="1"/>
  <c r="I39" i="1"/>
  <c r="I10" i="1"/>
  <c r="I42" i="1"/>
  <c r="I25" i="1"/>
  <c r="I62" i="1"/>
  <c r="I29" i="1"/>
  <c r="I52" i="1"/>
  <c r="I55" i="1"/>
  <c r="I53" i="1"/>
  <c r="I5" i="1"/>
  <c r="I58" i="1"/>
  <c r="I46" i="1"/>
  <c r="I59" i="1"/>
  <c r="I24" i="1"/>
  <c r="I37" i="1"/>
  <c r="I47" i="1"/>
  <c r="I38" i="1"/>
  <c r="I20" i="1"/>
  <c r="I21" i="1"/>
  <c r="I27" i="1"/>
  <c r="I32" i="1"/>
  <c r="I50" i="1"/>
</calcChain>
</file>

<file path=xl/sharedStrings.xml><?xml version="1.0" encoding="utf-8"?>
<sst xmlns="http://schemas.openxmlformats.org/spreadsheetml/2006/main" count="5454" uniqueCount="1224">
  <si>
    <t>REVISED V4 — PART SIZE → TOOL BLOCK SIZE → BLOCK COUNT</t>
  </si>
  <si>
    <t>Process</t>
  </si>
  <si>
    <t>GENERIC PART — dimensions in mm</t>
  </si>
  <si>
    <t>Tool component and MALE / FEMALE role</t>
  </si>
  <si>
    <t>NUMBER OF BLOCKS of this size</t>
  </si>
  <si>
    <t>RAW STOCK TO ORDER — per block (mm)</t>
  </si>
  <si>
    <t>RAW BLOCK length (mm)</t>
  </si>
  <si>
    <t>RAW BLOCK width (mm)</t>
  </si>
  <si>
    <t>RAW BLOCK thickness (mm)</t>
  </si>
  <si>
    <t>ROUND BILLET diameter (mm)</t>
  </si>
  <si>
    <t>PART envelope length (mm)</t>
  </si>
  <si>
    <t>PART envelope width (mm)</t>
  </si>
  <si>
    <t>PART envelope height (mm)</t>
  </si>
  <si>
    <t>PART outer diameter (mm)</t>
  </si>
  <si>
    <t>PART wall / sheet thickness (mm)</t>
  </si>
  <si>
    <t>TOTAL MACHINED BLOCKS per reference tool set</t>
  </si>
  <si>
    <t>Stock form</t>
  </si>
  <si>
    <t>Sizing basis / scope</t>
  </si>
  <si>
    <t>Bending</t>
  </si>
  <si>
    <t>L-bracket: bend 100; legs 50 × 50; sheet 2</t>
  </si>
  <si>
    <t>MALE — Bending punch</t>
  </si>
  <si>
    <t>n.a.</t>
  </si>
  <si>
    <t>Rectangular block</t>
  </si>
  <si>
    <t>DC01 steel</t>
  </si>
  <si>
    <t>Custom punch/die working bodies only; mounting interfaces need confirmation.</t>
  </si>
  <si>
    <t>FEMALE DIE — V-die</t>
  </si>
  <si>
    <t>Metal extrusion</t>
  </si>
  <si>
    <t>Square tube: 40 × 40 × wall 3; length 1000</t>
  </si>
  <si>
    <t>FEMALE DIE — Profile die disk</t>
  </si>
  <si>
    <t>Round billet</t>
  </si>
  <si>
    <t>EN AW-6063 aluminum</t>
  </si>
  <si>
    <t>Illustrative Ø180 mm die package; actual press container and holder govern outside diameter.</t>
  </si>
  <si>
    <t>MALE / BRIDGE — Bridge plate with integral mandrel</t>
  </si>
  <si>
    <t>SUPPORT — Die backer</t>
  </si>
  <si>
    <t>Die casting</t>
  </si>
  <si>
    <t>Open hemisphere: Ø100 × depth 50; wall 3</t>
  </si>
  <si>
    <t>FEMALE — Outer hemisphere cavity</t>
  </si>
  <si>
    <t>A380 aluminum</t>
  </si>
  <si>
    <t>Working inserts only. Mold base, feed/ejection hardware and any joining fixture are additional.</t>
  </si>
  <si>
    <t>MALE — Inner hemisphere core</t>
  </si>
  <si>
    <t>Sand casting</t>
  </si>
  <si>
    <t>Solid sphere: Ø100</t>
  </si>
  <si>
    <t>MALE PATTERN — Positive hemisphere pattern</t>
  </si>
  <si>
    <t>EN-GJL-250 gray cast iron</t>
  </si>
  <si>
    <t>Machined aluminum pattern route selected. Wood/resin or printed sand remain alternative routes, not additional blocks.</t>
  </si>
  <si>
    <t>SUPPORT — Pattern mounting plate</t>
  </si>
  <si>
    <t>Investment casting</t>
  </si>
  <si>
    <t>Solid sphere: Ø100 (wax-pattern tooling)</t>
  </si>
  <si>
    <t>FEMALE — Wax-mold hemisphere half</t>
  </si>
  <si>
    <t>Cast 316L stainless steel</t>
  </si>
  <si>
    <t>Wax-injection mold blocks only; 2% total tool-size enlargement is an estimating assumption, not a qualified shrinkage value.</t>
  </si>
  <si>
    <t>Closed die forging</t>
  </si>
  <si>
    <t>Solid sphere: Ø100 (forging)</t>
  </si>
  <si>
    <t>FEMALE DIE — Forging impression half</t>
  </si>
  <si>
    <t>C45 steel</t>
  </si>
  <si>
    <t>Finishing and trimming tools shown. Billet preparation or blocker tooling may be additional.</t>
  </si>
  <si>
    <t>MALE — Trimming punch</t>
  </si>
  <si>
    <t>FEMALE DIE — Trimming die</t>
  </si>
  <si>
    <t>Plastic extrusion</t>
  </si>
  <si>
    <t>Rectangular tube: 40 × 25 × wall 2; length 1000</t>
  </si>
  <si>
    <t>FEMALE DIE — Profile die block</t>
  </si>
  <si>
    <t>Rigid PVC</t>
  </si>
  <si>
    <t>Illustrative compact profile head; upstream distributor and screw/barrel are separate.</t>
  </si>
  <si>
    <t>MALE — Profile mandrel</t>
  </si>
  <si>
    <t>FEMALE CALIBRATOR — Calibration block</t>
  </si>
  <si>
    <t>Blow molding</t>
  </si>
  <si>
    <t>Hollow sphere: Ø100 body; total height 120 with neck; wall ~1</t>
  </si>
  <si>
    <t>FEMALE — Spherical bottle mold half</t>
  </si>
  <si>
    <t>Blow-molding HDPE</t>
  </si>
  <si>
    <t>Extrusion blow-molding route. Pinch-off, neck and parting detail require final layout.</t>
  </si>
  <si>
    <t>MALE PIN — Blow pin</t>
  </si>
  <si>
    <t>Compression molding</t>
  </si>
  <si>
    <t>Glass-filled thermoset SMC</t>
  </si>
  <si>
    <t>Matched working inserts; press plates, heater cartridges and ejector assembly are additional.</t>
  </si>
  <si>
    <t>Transfer molding</t>
  </si>
  <si>
    <t>Block: 60 × 40 × 15; two Ø6 holes</t>
  </si>
  <si>
    <t>FEMALE — Cavity half</t>
  </si>
  <si>
    <t>Mineral-filled thermoset epoxy</t>
  </si>
  <si>
    <t>Transfer pot/plunger sizes assumed for one cavity; charge, runner volume and transfer pressure need checking.</t>
  </si>
  <si>
    <t>MALE PIN — Hole core pin</t>
  </si>
  <si>
    <t>FEMALE POT — Transfer pot insert</t>
  </si>
  <si>
    <t>MALE PLUNGER — Transfer plunger</t>
  </si>
  <si>
    <t>Rotational molding</t>
  </si>
  <si>
    <t>Hollow sphere: Ø100; wall 3</t>
  </si>
  <si>
    <t>FEMALE SHELL — Machined hemispherical mold shell</t>
  </si>
  <si>
    <t>Rotomolding LLDPE</t>
  </si>
  <si>
    <t>Machined aluminum-shell route chosen so stock can be estimated. Mill the outside to leave an assumed 8 mm shell; keep flange.</t>
  </si>
  <si>
    <t>Powder metallurgy — press and sinter</t>
  </si>
  <si>
    <t>Bushing: flange Ø40; body Ø30; bore Ø20; height 25</t>
  </si>
  <si>
    <t>FEMALE DIE — Compaction die body</t>
  </si>
  <si>
    <t>Variable</t>
  </si>
  <si>
    <t>Fe-Cu-C powder-metal alloy</t>
  </si>
  <si>
    <t>Steel development tooling baseline for dimensions. Carbide insert/steel support assemblies require separate interface design.</t>
  </si>
  <si>
    <t>MALE PUNCH — Upper annular punch</t>
  </si>
  <si>
    <t>MALE PUNCH — Lower inner punch</t>
  </si>
  <si>
    <t>MALE PUNCH — Lower outer punch</t>
  </si>
  <si>
    <t>MALE CORE — Bore core rod</t>
  </si>
  <si>
    <t>Metal injection molding — MIM</t>
  </si>
  <si>
    <t>Clevis: 30 × 15 × 12; sections 3; holes Ø4</t>
  </si>
  <si>
    <t>FEMALE — Cavity insert</t>
  </si>
  <si>
    <t>MIM 17-4PH stainless steel</t>
  </si>
  <si>
    <t>18% linear tool enlargement is an explicit placeholder for feedstock-specific compensation, not a certified shrinkage.</t>
  </si>
  <si>
    <t>MALE / CORE SIDE — Core-side insert</t>
  </si>
  <si>
    <t>MALE PIN — Transverse hole core pin</t>
  </si>
  <si>
    <t>SUPPORT / SLIDE — Core-pin slide carrier</t>
  </si>
  <si>
    <t>Composite molding</t>
  </si>
  <si>
    <t>Open hemisphere: Ø100 × depth 50; laminate 2</t>
  </si>
  <si>
    <t>FEMALE — Female lay-up mold</t>
  </si>
  <si>
    <t>Glass-fiber/epoxy</t>
  </si>
  <si>
    <t>Machined aluminum one-sided mold selected. RTM would require a separate matched male tool and pressure design.</t>
  </si>
  <si>
    <t>Pultrusion</t>
  </si>
  <si>
    <t>FEMALE DIE — Split female die block</t>
  </si>
  <si>
    <t>Glass-fiber/polyester</t>
  </si>
  <si>
    <t>Die length is an estimating assumption tied to cure residence time, not finished cut length.</t>
  </si>
  <si>
    <t>MALE — Internal mandrel</t>
  </si>
  <si>
    <t>Punching / blanking</t>
  </si>
  <si>
    <t>Flat disc: Ø100 × thickness 2</t>
  </si>
  <si>
    <t>MALE — Blanking punch</t>
  </si>
  <si>
    <t>Punch/die clearance not selected; small clearance changes the cutting opening but does not establish structural margins.</t>
  </si>
  <si>
    <t>FEMALE DIE — Blanking die insert</t>
  </si>
  <si>
    <t>STRIPPER — Stripper plate</t>
  </si>
  <si>
    <t>Fine blanking</t>
  </si>
  <si>
    <t>Flat disc: Ø100 × thickness 5; hole Ø20</t>
  </si>
  <si>
    <t>MALE — Main fine-blanking punch</t>
  </si>
  <si>
    <t>DC04 steel, qualified for fine blanking</t>
  </si>
  <si>
    <t>Working components only. Triple-action guidance, backing and press interfaces are additional.</t>
  </si>
  <si>
    <t>FEMALE DIE — Fine-blanking die</t>
  </si>
  <si>
    <t>MALE COUNTERPUNCH — Counterpunch</t>
  </si>
  <si>
    <t>MALE PIN — Hole punch</t>
  </si>
  <si>
    <t>V-RING HOLDER — V-ring holder</t>
  </si>
  <si>
    <t>Progressive die stamping</t>
  </si>
  <si>
    <t>U-bracket: 60 × 40 × 20; sheet 1; holes Ø6</t>
  </si>
  <si>
    <t>SUPPORT — Upper tool carrier</t>
  </si>
  <si>
    <t>Assume 4 stations, 70 mm pitch and 110 mm strip envelope. Flat blank and sequence must be finalized.</t>
  </si>
  <si>
    <t>SUPPORT — Lower die carrier</t>
  </si>
  <si>
    <t>MALE — Blanking / trimming punch</t>
  </si>
  <si>
    <t>FEMALE DIE — Blanking / trimming die insert</t>
  </si>
  <si>
    <t>FEMALE DIE — Bending die insert</t>
  </si>
  <si>
    <t>MALE PIN — Piercing punch</t>
  </si>
  <si>
    <t>Tube hydroforming</t>
  </si>
  <si>
    <t>Tube: length 150; ends Ø30; center Ø40; initial wall 1.5</t>
  </si>
  <si>
    <t>FEMALE — Hydroforming die half</t>
  </si>
  <si>
    <t>Formable low-carbon welded steel tube</t>
  </si>
  <si>
    <t>Blocks shown assume press backing. Pressure, axial-feed load and deflection must be validated.</t>
  </si>
  <si>
    <t>MALE END PUNCH — End sealing / feeding punch</t>
  </si>
  <si>
    <t>Sheet hydroforming</t>
  </si>
  <si>
    <t>Open cup: 100 × 80 × 25; initial sheet 1</t>
  </si>
  <si>
    <t>MALE — Hydromechanical forming punch</t>
  </si>
  <si>
    <t>DC04 steel</t>
  </si>
  <si>
    <t>Pressure vessel/chamber is purchased and is not assigned an invented milling-block size.</t>
  </si>
  <si>
    <t>BLANK HOLDER — Blank-holder ring</t>
  </si>
  <si>
    <t>FLUID CHAMBER — Rated fluid pressure chamber</t>
  </si>
  <si>
    <t>Purchased / no milled block</t>
  </si>
  <si>
    <t>Spinning</t>
  </si>
  <si>
    <t>Open hemisphere: Ø100 × depth 50; initial sheet 1.5</t>
  </si>
  <si>
    <t>MALE — Hemispherical mandrel</t>
  </si>
  <si>
    <t>EN AW-1050A aluminum</t>
  </si>
  <si>
    <t>Spindle attachment/tailstock interface remain machine-specific. Roller envelope is an assumed example.</t>
  </si>
  <si>
    <t>ROLLER — Forming roller blank</t>
  </si>
  <si>
    <t>Rectangular block = length × width × thickness. Round billet = diameter × axial length. Full tool bases and machine services may be additional.</t>
  </si>
  <si>
    <t>Concrete tooling blocks before machining</t>
  </si>
  <si>
    <t>Lifetime quantity</t>
  </si>
  <si>
    <t>Component to manufacture</t>
  </si>
  <si>
    <t>MALE / FEMALE / other</t>
  </si>
  <si>
    <t>Pieces per tool set</t>
  </si>
  <si>
    <t>RAW STOCK TO BUY — mm</t>
  </si>
  <si>
    <t>Reference part</t>
  </si>
  <si>
    <t>Finished-part dimensions</t>
  </si>
  <si>
    <t>Material for this block</t>
  </si>
  <si>
    <t>Heating / cooling</t>
  </si>
  <si>
    <t>Nominal working envelope L / OD (mm)</t>
  </si>
  <si>
    <t>Nominal working envelope W (mm)</t>
  </si>
  <si>
    <t>Nominal working depth / length (mm)</t>
  </si>
  <si>
    <t>Assumed linear tool enlargement</t>
  </si>
  <si>
    <t>Side / radial reserve X (mm)</t>
  </si>
  <si>
    <t>Side reserve Y (mm)</t>
  </si>
  <si>
    <t>Backing / mounting reserve (mm)</t>
  </si>
  <si>
    <t>Machining allowance per face (mm)</t>
  </si>
  <si>
    <t>Stock rounding increment (mm)</t>
  </si>
  <si>
    <t>Finished body L / OD (mm)</t>
  </si>
  <si>
    <t>Finished body W (mm)</t>
  </si>
  <si>
    <t>Finished body depth / length (mm)</t>
  </si>
  <si>
    <t>Raw stock L / OD (mm)</t>
  </si>
  <si>
    <t>Raw stock W (mm)</t>
  </si>
  <si>
    <t>Raw stock depth / length (mm)</t>
  </si>
  <si>
    <t>Unique record ID</t>
  </si>
  <si>
    <t>What the sizing assumes</t>
  </si>
  <si>
    <t>1–20</t>
  </si>
  <si>
    <t>Bending punch</t>
  </si>
  <si>
    <t>MALE</t>
  </si>
  <si>
    <t>L-bracket</t>
  </si>
  <si>
    <t>100 mm bend length; two 50 mm outside legs; sheet 2 mm; inside R3</t>
  </si>
  <si>
    <t>Cold process; normally no active cooling</t>
  </si>
  <si>
    <t>P01-Q1-C01</t>
  </si>
  <si>
    <t>Illustrative punch-body section, not derived solely from sheet thickness. R3 nose and holder are machined into the envelope.</t>
  </si>
  <si>
    <t>V-die</t>
  </si>
  <si>
    <t>FEMALE DIE</t>
  </si>
  <si>
    <t>P01-Q1-C02</t>
  </si>
  <si>
    <t>Assumed V-opening 16 mm, 12 mm shoulder reserve each side and 35 mm total die height. Confirm bending load.</t>
  </si>
  <si>
    <t>21–100</t>
  </si>
  <si>
    <t>P01-Q2-C01</t>
  </si>
  <si>
    <t>P01-Q2-C02</t>
  </si>
  <si>
    <t>101–1,000</t>
  </si>
  <si>
    <t>P01-Q3-C01</t>
  </si>
  <si>
    <t>P01-Q3-C02</t>
  </si>
  <si>
    <t>1,001–10,000</t>
  </si>
  <si>
    <t>P01-Q4-C01</t>
  </si>
  <si>
    <t>P01-Q4-C02</t>
  </si>
  <si>
    <t>10,001–100,000</t>
  </si>
  <si>
    <t>P01-Q5-C01</t>
  </si>
  <si>
    <t>P01-Q5-C02</t>
  </si>
  <si>
    <t>Above 100,000</t>
  </si>
  <si>
    <t>P01-Q6-C01</t>
  </si>
  <si>
    <t>P01-Q6-C02</t>
  </si>
  <si>
    <t>Profile die disk</t>
  </si>
  <si>
    <t>Hollow square extrusion</t>
  </si>
  <si>
    <t>40 × 40 mm outside; wall 3 mm; cut length 1,000 mm</t>
  </si>
  <si>
    <t>Hot die/billet; nitrided working surfaces; process-specific temperature control</t>
  </si>
  <si>
    <t>P02-Q1-C01</t>
  </si>
  <si>
    <t>57 mm circumscribed profile envelope. Assumed finished die OD180 × 60 mm; pressure and bearing design unvalidated.</t>
  </si>
  <si>
    <t>Bridge plate with integral mandrel</t>
  </si>
  <si>
    <t>MALE / BRIDGE</t>
  </si>
  <si>
    <t>P02-Q1-C02</t>
  </si>
  <si>
    <t>Hollow profile requires bridge-supported internal mandrel; bridges/ports must be sized for extrusion pressure.</t>
  </si>
  <si>
    <t>Die backer</t>
  </si>
  <si>
    <t>SUPPORT</t>
  </si>
  <si>
    <t>42CrMo4 or supplier-rated backing grade</t>
  </si>
  <si>
    <t>P02-Q1-C03</t>
  </si>
  <si>
    <t>Assumed finished Ø180 × 40 mm; actual support design required.</t>
  </si>
  <si>
    <t>P02-Q2-C01</t>
  </si>
  <si>
    <t>P02-Q2-C02</t>
  </si>
  <si>
    <t>P02-Q2-C03</t>
  </si>
  <si>
    <t>P02-Q3-C01</t>
  </si>
  <si>
    <t>P02-Q3-C02</t>
  </si>
  <si>
    <t>P02-Q3-C03</t>
  </si>
  <si>
    <t>P02-Q4-C01</t>
  </si>
  <si>
    <t>P02-Q4-C02</t>
  </si>
  <si>
    <t>P02-Q4-C03</t>
  </si>
  <si>
    <t>P02-Q5-C01</t>
  </si>
  <si>
    <t>P02-Q5-C02</t>
  </si>
  <si>
    <t>P02-Q5-C03</t>
  </si>
  <si>
    <t>P02-Q6-C01</t>
  </si>
  <si>
    <t>P02-Q6-C02</t>
  </si>
  <si>
    <t>P02-Q6-C03</t>
  </si>
  <si>
    <t>Outer hemisphere cavity</t>
  </si>
  <si>
    <t>FEMALE</t>
  </si>
  <si>
    <t>Hemispherical shell</t>
  </si>
  <si>
    <t>Outside Ø100 mm; depth 50 mm; nominal wall 3 mm; open equator</t>
  </si>
  <si>
    <t>Die preheat; internal temperature-control circuits and external spray</t>
  </si>
  <si>
    <t>P03-Q1-C01</t>
  </si>
  <si>
    <t>40 mm peripheral reserve for support and local feed/cooling layout; exact features not yet laid out.</t>
  </si>
  <si>
    <t>Inner hemisphere core</t>
  </si>
  <si>
    <t>P03-Q1-C02</t>
  </si>
  <si>
    <t>Inner hemisphere Ø94 mm, height 47 mm. Base/shutoff and ejector layout must be validated.</t>
  </si>
  <si>
    <t>P03-Q2-C01</t>
  </si>
  <si>
    <t>P03-Q2-C02</t>
  </si>
  <si>
    <t>P03-Q3-C01</t>
  </si>
  <si>
    <t>P03-Q3-C02</t>
  </si>
  <si>
    <t>P03-Q4-C01</t>
  </si>
  <si>
    <t>P03-Q4-C02</t>
  </si>
  <si>
    <t>P03-Q5-C01</t>
  </si>
  <si>
    <t>P03-Q5-C02</t>
  </si>
  <si>
    <t>P03-Q6-C01</t>
  </si>
  <si>
    <t>P03-Q6-C02</t>
  </si>
  <si>
    <t>Positive hemisphere pattern</t>
  </si>
  <si>
    <t>MALE PATTERN</t>
  </si>
  <si>
    <t>Solid sphere</t>
  </si>
  <si>
    <t>Finished Ø100 mm; split pattern at equator</t>
  </si>
  <si>
    <t>6061-T6 aluminum</t>
  </si>
  <si>
    <t>No pattern cooling; molten metal contacts sand, not these blocks</t>
  </si>
  <si>
    <t>P04-Q1-C01</t>
  </si>
  <si>
    <t>10 mm mounting base under each positive pattern. Gating/riser patterns and flask are additional.</t>
  </si>
  <si>
    <t>Pattern mounting plate</t>
  </si>
  <si>
    <t>Aluminum tooling plate</t>
  </si>
  <si>
    <t>P04-Q1-C02</t>
  </si>
  <si>
    <t>Illustrative plate for one pattern layout; final molding machine layout governs.</t>
  </si>
  <si>
    <t>P04-Q2-C01</t>
  </si>
  <si>
    <t>P04-Q2-C02</t>
  </si>
  <si>
    <t>P04-Q3-C01</t>
  </si>
  <si>
    <t>P04-Q3-C02</t>
  </si>
  <si>
    <t>P04-Q4-C01</t>
  </si>
  <si>
    <t>P04-Q4-C02</t>
  </si>
  <si>
    <t>P04-Q5-C01</t>
  </si>
  <si>
    <t>P04-Q5-C02</t>
  </si>
  <si>
    <t>P04-Q6-C01</t>
  </si>
  <si>
    <t>P04-Q6-C02</t>
  </si>
  <si>
    <t>Wax-mold hemisphere half</t>
  </si>
  <si>
    <t>Solid sphere via wax pattern</t>
  </si>
  <si>
    <t>Finished metal sphere Ø100 mm; wax mold splits at equator</t>
  </si>
  <si>
    <t>Wax-tool temperature control as needed; ceramic shell heated separately</t>
  </si>
  <si>
    <t>P05-Q1-C01</t>
  </si>
  <si>
    <t>30 mm side reserve and 30 mm material behind cavity. Wax gate fits only after layout check; ceramic shell is not a metal block.</t>
  </si>
  <si>
    <t>P05-Q2-C01</t>
  </si>
  <si>
    <t>P05-Q3-C01</t>
  </si>
  <si>
    <t>P05-Q4-C01</t>
  </si>
  <si>
    <t>P05-Q5-C01</t>
  </si>
  <si>
    <t>P05-Q6-C01</t>
  </si>
  <si>
    <t>Forging impression half</t>
  </si>
  <si>
    <t>Solid forged sphere</t>
  </si>
  <si>
    <t>Finished nominal Ø100 mm before final finishing allowance</t>
  </si>
  <si>
    <t>Hot forging; preheated dies; controlled lubricant/cooling spray</t>
  </si>
  <si>
    <t>P06-Q1-C01</t>
  </si>
  <si>
    <t>Assume 50 mm side reserve including flash land/gutter and 70 mm backing. These are costing allowances, not verified forging sections.</t>
  </si>
  <si>
    <t>Trimming punch</t>
  </si>
  <si>
    <t>A2 / H13, selected for trimming temperature</t>
  </si>
  <si>
    <t>P06-Q1-C02</t>
  </si>
  <si>
    <t>Nominal punch envelope; cup/contact profile and actual flash line require design.</t>
  </si>
  <si>
    <t>Trimming die</t>
  </si>
  <si>
    <t>P06-Q1-C03</t>
  </si>
  <si>
    <t>Trimming clearance and hot/cold trim condition remain to qualify.</t>
  </si>
  <si>
    <t>P06-Q2-C01</t>
  </si>
  <si>
    <t>P06-Q2-C02</t>
  </si>
  <si>
    <t>P06-Q2-C03</t>
  </si>
  <si>
    <t>P06-Q3-C01</t>
  </si>
  <si>
    <t>P06-Q3-C02</t>
  </si>
  <si>
    <t>P06-Q3-C03</t>
  </si>
  <si>
    <t>P06-Q4-C01</t>
  </si>
  <si>
    <t>P06-Q4-C02</t>
  </si>
  <si>
    <t>P06-Q4-C03</t>
  </si>
  <si>
    <t>P06-Q5-C01</t>
  </si>
  <si>
    <t>P06-Q5-C02</t>
  </si>
  <si>
    <t>P06-Q5-C03</t>
  </si>
  <si>
    <t>P06-Q6-C01</t>
  </si>
  <si>
    <t>P06-Q6-C02</t>
  </si>
  <si>
    <t>P06-Q6-C03</t>
  </si>
  <si>
    <t>Profile die block</t>
  </si>
  <si>
    <t>Hollow rectangular extrusion</t>
  </si>
  <si>
    <t>Outside 40 × 25 mm; wall 2 mm; cut length 1,000 mm</t>
  </si>
  <si>
    <t>P20 / corrosion-resistant mold steel</t>
  </si>
  <si>
    <t>Die heated; calibrator cooled and connected to vacuum</t>
  </si>
  <si>
    <t>P07-Q1-C01</t>
  </si>
  <si>
    <t>Flow manifold and land must fit the assumed 50 mm axial depth; confirm with rheology.</t>
  </si>
  <si>
    <t>Profile mandrel</t>
  </si>
  <si>
    <t>Corrosion-resistant tool steel</t>
  </si>
  <si>
    <t>P07-Q1-C02</t>
  </si>
  <si>
    <t>36 × 21 mm nominal internal section; 100 mm mandrel/support length assumed.</t>
  </si>
  <si>
    <t>Calibration block</t>
  </si>
  <si>
    <t>FEMALE CALIBRATOR</t>
  </si>
  <si>
    <t>Corrosion-resistant calibration tooling grade</t>
  </si>
  <si>
    <t>P07-Q1-C03</t>
  </si>
  <si>
    <t>200 mm calibration length assumed, not derived from 1,000 mm cut length; cooling slots must be laid out.</t>
  </si>
  <si>
    <t>P07-Q2-C01</t>
  </si>
  <si>
    <t>P07-Q2-C02</t>
  </si>
  <si>
    <t>P07-Q2-C03</t>
  </si>
  <si>
    <t>P07-Q3-C01</t>
  </si>
  <si>
    <t>P07-Q3-C02</t>
  </si>
  <si>
    <t>P07-Q3-C03</t>
  </si>
  <si>
    <t>P07-Q4-C01</t>
  </si>
  <si>
    <t>P07-Q4-C02</t>
  </si>
  <si>
    <t>P07-Q4-C03</t>
  </si>
  <si>
    <t>P07-Q5-C01</t>
  </si>
  <si>
    <t>P07-Q5-C02</t>
  </si>
  <si>
    <t>P07-Q5-C03</t>
  </si>
  <si>
    <t>P07-Q6-C01</t>
  </si>
  <si>
    <t>P07-Q6-C02</t>
  </si>
  <si>
    <t>P07-Q6-C03</t>
  </si>
  <si>
    <t>Spherical bottle mold half</t>
  </si>
  <si>
    <t>Hollow spherical bottle</t>
  </si>
  <si>
    <t>Spherical body Ø100 mm; wall approx. 1 mm; 20 mm neck extension</t>
  </si>
  <si>
    <t>6061-T6 / 7075-T6 aluminum</t>
  </si>
  <si>
    <t>Water-cooled cavity halves; pinch-off and neck wear inserts as needed</t>
  </si>
  <si>
    <t>P08-Q1-C01</t>
  </si>
  <si>
    <t>120 mm envelope includes the neck. 25 mm behind the cavity is a provisional cooling/support budget.</t>
  </si>
  <si>
    <t>Blow pin</t>
  </si>
  <si>
    <t>MALE PIN</t>
  </si>
  <si>
    <t>Hardened stainless tooling grade</t>
  </si>
  <si>
    <t>P08-Q1-C02</t>
  </si>
  <si>
    <t>Nominal envelope only; actual neck finish, air bore and seal determine pin geometry.</t>
  </si>
  <si>
    <t>P08-Q2-C01</t>
  </si>
  <si>
    <t>P08-Q2-C02</t>
  </si>
  <si>
    <t>P08-Q3-C01</t>
  </si>
  <si>
    <t>P08-Q3-C02</t>
  </si>
  <si>
    <t>P08-Q4-C01</t>
  </si>
  <si>
    <t>P08-Q4-C02</t>
  </si>
  <si>
    <t>P08-Q5-C01</t>
  </si>
  <si>
    <t>P08-Q5-C02</t>
  </si>
  <si>
    <t>P08-Q6-C01</t>
  </si>
  <si>
    <t>P08-Q6-C02</t>
  </si>
  <si>
    <t>Hemispherical thermoset cover</t>
  </si>
  <si>
    <t>Outside Ø100 mm; depth 50 mm; wall 3 mm; open equator</t>
  </si>
  <si>
    <t>Heated matched mold, vents and ejectors; no default cold-water cooling</t>
  </si>
  <si>
    <t>P09-Q1-C01</t>
  </si>
  <si>
    <t>Peripheral reserve includes flash/shear-edge zone; pressure and heater layout remain unvalidated.</t>
  </si>
  <si>
    <t>P09-Q1-C02</t>
  </si>
  <si>
    <t>Nominal Ø94 × 47 mm inner hemisphere. Confirm draft/release and laminate/compound flow.</t>
  </si>
  <si>
    <t>P09-Q2-C01</t>
  </si>
  <si>
    <t>P09-Q2-C02</t>
  </si>
  <si>
    <t>P09-Q3-C01</t>
  </si>
  <si>
    <t>P09-Q3-C02</t>
  </si>
  <si>
    <t>P09-Q4-C01</t>
  </si>
  <si>
    <t>P09-Q4-C02</t>
  </si>
  <si>
    <t>P09-Q5-C01</t>
  </si>
  <si>
    <t>P09-Q5-C02</t>
  </si>
  <si>
    <t>P09-Q6-C01</t>
  </si>
  <si>
    <t>P09-Q6-C02</t>
  </si>
  <si>
    <t>Cavity half</t>
  </si>
  <si>
    <t>Insulating block with holes</t>
  </si>
  <si>
    <t>60 × 40 × 15 mm; two Ø6 mm through-holes</t>
  </si>
  <si>
    <t>Heated mold; compound cure and venting govern thermal layout</t>
  </si>
  <si>
    <t>P10-Q1-C01</t>
  </si>
  <si>
    <t>Part split through its thickness; one half carries the core pins.</t>
  </si>
  <si>
    <t>Hole core pin</t>
  </si>
  <si>
    <t>Hardened H13 / 1.2083</t>
  </si>
  <si>
    <t>P10-Q1-C02</t>
  </si>
  <si>
    <t>Pin engagement and supported length require design; small stock rounded to 1 mm.</t>
  </si>
  <si>
    <t>Transfer pot insert</t>
  </si>
  <si>
    <t>FEMALE POT</t>
  </si>
  <si>
    <t>H13</t>
  </si>
  <si>
    <t>P10-Q1-C03</t>
  </si>
  <si>
    <t>Assumed Ø40 × 30 mm charge cavity, not a calculated shot capacity.</t>
  </si>
  <si>
    <t>Transfer plunger</t>
  </si>
  <si>
    <t>MALE PLUNGER</t>
  </si>
  <si>
    <t>P10-Q1-C04</t>
  </si>
  <si>
    <t>Plunger/body and mounting envelope assumed; fit and stroke require design.</t>
  </si>
  <si>
    <t>P10-Q2-C01</t>
  </si>
  <si>
    <t>P10-Q2-C02</t>
  </si>
  <si>
    <t>P10-Q2-C03</t>
  </si>
  <si>
    <t>P10-Q2-C04</t>
  </si>
  <si>
    <t>P10-Q3-C01</t>
  </si>
  <si>
    <t>P10-Q3-C02</t>
  </si>
  <si>
    <t>P10-Q3-C03</t>
  </si>
  <si>
    <t>P10-Q3-C04</t>
  </si>
  <si>
    <t>P10-Q4-C01</t>
  </si>
  <si>
    <t>P10-Q4-C02</t>
  </si>
  <si>
    <t>P10-Q4-C03</t>
  </si>
  <si>
    <t>P10-Q4-C04</t>
  </si>
  <si>
    <t>P10-Q5-C01</t>
  </si>
  <si>
    <t>P10-Q5-C02</t>
  </si>
  <si>
    <t>P10-Q5-C03</t>
  </si>
  <si>
    <t>P10-Q5-C04</t>
  </si>
  <si>
    <t>P10-Q6-C01</t>
  </si>
  <si>
    <t>P10-Q6-C02</t>
  </si>
  <si>
    <t>P10-Q6-C03</t>
  </si>
  <si>
    <t>P10-Q6-C04</t>
  </si>
  <si>
    <t>Machined hemispherical mold shell</t>
  </si>
  <si>
    <t>FEMALE SHELL</t>
  </si>
  <si>
    <t>Hollow sphere</t>
  </si>
  <si>
    <t>Outside Ø100 mm; nominal wall 3 mm; vent/fill opening</t>
  </si>
  <si>
    <t>Whole tool oven-heated and externally cooled</t>
  </si>
  <si>
    <t>P11-Q1-C01</t>
  </si>
  <si>
    <t>20 mm radial reserve = illustrative shell/flange budget. Remove outside stock to make a shell, not a solid-backed mold; 8 mm shell is provisional.</t>
  </si>
  <si>
    <t>P11-Q2-C01</t>
  </si>
  <si>
    <t>P11-Q3-C01</t>
  </si>
  <si>
    <t>P11-Q4-C01</t>
  </si>
  <si>
    <t>P11-Q5-C01</t>
  </si>
  <si>
    <t>P11-Q6-C01</t>
  </si>
  <si>
    <t>Compaction die body</t>
  </si>
  <si>
    <t>Flanged bushing</t>
  </si>
  <si>
    <t>Flange Ø40 × 5 mm; body Ø30 mm; bore Ø20 mm; overall height 25 mm</t>
  </si>
  <si>
    <t>Cold compaction baseline; sintering fixtures are separate</t>
  </si>
  <si>
    <t>P12-Q1-C01</t>
  </si>
  <si>
    <t>50 mm fill depth is an assumed 2× overall-height allowance; validate apparent/green densities and powder levels.</t>
  </si>
  <si>
    <t>Upper annular punch</t>
  </si>
  <si>
    <t>MALE PUNCH</t>
  </si>
  <si>
    <t>P12-Q1-C02</t>
  </si>
  <si>
    <t>Bore and punch steps machined into the billet; verify compressive stress.</t>
  </si>
  <si>
    <t>Lower inner punch</t>
  </si>
  <si>
    <t>P12-Q1-C03</t>
  </si>
  <si>
    <t>Multi-level punch support and actual annular profiles must be designed.</t>
  </si>
  <si>
    <t>Lower outer punch</t>
  </si>
  <si>
    <t>P12-Q1-C04</t>
  </si>
  <si>
    <t>Bore core rod</t>
  </si>
  <si>
    <t>MALE CORE</t>
  </si>
  <si>
    <t>A2 / M2 or suitable carbide assembly</t>
  </si>
  <si>
    <t>P12-Q1-C05</t>
  </si>
  <si>
    <t>100 mm rod length is assumed for fill and ejection; buckling/support not checked.</t>
  </si>
  <si>
    <t>P12-Q2-C01</t>
  </si>
  <si>
    <t>P12-Q2-C02</t>
  </si>
  <si>
    <t>P12-Q2-C03</t>
  </si>
  <si>
    <t>P12-Q2-C04</t>
  </si>
  <si>
    <t>P12-Q2-C05</t>
  </si>
  <si>
    <t>P12-Q3-C01</t>
  </si>
  <si>
    <t>P12-Q3-C02</t>
  </si>
  <si>
    <t>P12-Q3-C03</t>
  </si>
  <si>
    <t>P12-Q3-C04</t>
  </si>
  <si>
    <t>P12-Q3-C05</t>
  </si>
  <si>
    <t>P12-Q4-C01</t>
  </si>
  <si>
    <t>P12-Q4-C02</t>
  </si>
  <si>
    <t>P12-Q4-C03</t>
  </si>
  <si>
    <t>P12-Q4-C04</t>
  </si>
  <si>
    <t>P12-Q4-C05</t>
  </si>
  <si>
    <t>P12-Q5-C01</t>
  </si>
  <si>
    <t>P12-Q5-C02</t>
  </si>
  <si>
    <t>P12-Q5-C03</t>
  </si>
  <si>
    <t>P12-Q5-C04</t>
  </si>
  <si>
    <t>P12-Q5-C05</t>
  </si>
  <si>
    <t>P12-Q6-C01</t>
  </si>
  <si>
    <t>P12-Q6-C02</t>
  </si>
  <si>
    <t>P12-Q6-C03</t>
  </si>
  <si>
    <t>P12-Q6-C04</t>
  </si>
  <si>
    <t>P12-Q6-C05</t>
  </si>
  <si>
    <t>Cavity insert</t>
  </si>
  <si>
    <t>Small clevis</t>
  </si>
  <si>
    <t>30 × 15 × 12 mm; nominal sections 3 mm; coaxial transverse holes Ø4 mm</t>
  </si>
  <si>
    <t>Mold cooling/temperature control; debinding and sintering separate</t>
  </si>
  <si>
    <t>P13-Q1-C01</t>
  </si>
  <si>
    <t>Clevis parting arrangement and runners need full CAD layout.</t>
  </si>
  <si>
    <t>Core-side insert</t>
  </si>
  <si>
    <t>MALE / CORE SIDE</t>
  </si>
  <si>
    <t>P13-Q1-C02</t>
  </si>
  <si>
    <t>Contains fork-forming positive features and ejection provision.</t>
  </si>
  <si>
    <t>Transverse hole core pin</t>
  </si>
  <si>
    <t>P13-Q1-C03</t>
  </si>
  <si>
    <t>One pin across coaxial holes; supported travel remains to design.</t>
  </si>
  <si>
    <t>Core-pin slide carrier</t>
  </si>
  <si>
    <t>SUPPORT / SLIDE</t>
  </si>
  <si>
    <t>42CrMo4 / P20</t>
  </si>
  <si>
    <t>P13-Q1-C04</t>
  </si>
  <si>
    <t>Carrier size assumed; stroke and guide engagement not validated.</t>
  </si>
  <si>
    <t>P13-Q2-C01</t>
  </si>
  <si>
    <t>P13-Q2-C02</t>
  </si>
  <si>
    <t>P13-Q2-C03</t>
  </si>
  <si>
    <t>P13-Q2-C04</t>
  </si>
  <si>
    <t>P13-Q3-C01</t>
  </si>
  <si>
    <t>P13-Q3-C02</t>
  </si>
  <si>
    <t>P13-Q3-C03</t>
  </si>
  <si>
    <t>P13-Q3-C04</t>
  </si>
  <si>
    <t>P13-Q4-C01</t>
  </si>
  <si>
    <t>P13-Q4-C02</t>
  </si>
  <si>
    <t>P13-Q4-C03</t>
  </si>
  <si>
    <t>P13-Q4-C04</t>
  </si>
  <si>
    <t>P13-Q5-C01</t>
  </si>
  <si>
    <t>P13-Q5-C02</t>
  </si>
  <si>
    <t>P13-Q5-C03</t>
  </si>
  <si>
    <t>P13-Q5-C04</t>
  </si>
  <si>
    <t>P13-Q6-C01</t>
  </si>
  <si>
    <t>P13-Q6-C02</t>
  </si>
  <si>
    <t>P13-Q6-C03</t>
  </si>
  <si>
    <t>P13-Q6-C04</t>
  </si>
  <si>
    <t>Female lay-up mold</t>
  </si>
  <si>
    <t>Composite hemisphere</t>
  </si>
  <si>
    <t>Outside Ø100 mm; depth 50 mm; laminate nominal 2 mm</t>
  </si>
  <si>
    <t>Ambient/low-temperature cure baseline; vacuum flange required</t>
  </si>
  <si>
    <t>P14-Q1-C01</t>
  </si>
  <si>
    <t>40 mm vacuum sealing flange reserve; 15 mm backing assumes supported low-pressure wet lay-up; check stiffness.</t>
  </si>
  <si>
    <t>P14-Q2-C01</t>
  </si>
  <si>
    <t>P14-Q3-C01</t>
  </si>
  <si>
    <t>P14-Q4-C01</t>
  </si>
  <si>
    <t>P14-Q5-C01</t>
  </si>
  <si>
    <t>P14-Q6-C01</t>
  </si>
  <si>
    <t>Split female die block</t>
  </si>
  <si>
    <t>Hollow pultruded profile</t>
  </si>
  <si>
    <t>Outside 40 × 40 mm; wall 3 mm; cut length 1,000 mm</t>
  </si>
  <si>
    <t>500 mm heated-die length assumed; entry cooling if needed</t>
  </si>
  <si>
    <t>P15-Q1-C01</t>
  </si>
  <si>
    <t>500 mm active length; 30 mm end support each end; half-profile depth 20 mm. Cure kinetics and pull load unvalidated.</t>
  </si>
  <si>
    <t>Internal mandrel</t>
  </si>
  <si>
    <t>Polished wear-resistant tool steel</t>
  </si>
  <si>
    <t>P15-Q1-C02</t>
  </si>
  <si>
    <t>650 mm length includes 150 mm assumed entry/support extension beyond 500 mm die.</t>
  </si>
  <si>
    <t>P15-Q2-C01</t>
  </si>
  <si>
    <t>P15-Q2-C02</t>
  </si>
  <si>
    <t>P15-Q3-C01</t>
  </si>
  <si>
    <t>P15-Q3-C02</t>
  </si>
  <si>
    <t>P15-Q4-C01</t>
  </si>
  <si>
    <t>P15-Q4-C02</t>
  </si>
  <si>
    <t>P15-Q5-C01</t>
  </si>
  <si>
    <t>P15-Q5-C02</t>
  </si>
  <si>
    <t>P15-Q6-C01</t>
  </si>
  <si>
    <t>P15-Q6-C02</t>
  </si>
  <si>
    <t>Blanking punch</t>
  </si>
  <si>
    <t>Flat circular disc</t>
  </si>
  <si>
    <t>Disc Ø100 mm; sheet 2 mm</t>
  </si>
  <si>
    <t>Cold cutting; normally no active cooling</t>
  </si>
  <si>
    <t>P16-Q1-C01</t>
  </si>
  <si>
    <t>Nominal cutting diameter shown; retention and punch/die clearance need design.</t>
  </si>
  <si>
    <t>Blanking die insert</t>
  </si>
  <si>
    <t>P16-Q1-C02</t>
  </si>
  <si>
    <t>Assumed 8 mm cutting land plus 22 mm backing; total finished thickness 30 mm.</t>
  </si>
  <si>
    <t>Stripper plate</t>
  </si>
  <si>
    <t>STRIPPER</t>
  </si>
  <si>
    <t>P20 / 42CrMo4</t>
  </si>
  <si>
    <t>P16-Q1-C03</t>
  </si>
  <si>
    <t>Assumed plate size; stripping force and supports require checking.</t>
  </si>
  <si>
    <t>P16-Q2-C01</t>
  </si>
  <si>
    <t>P16-Q2-C02</t>
  </si>
  <si>
    <t>P16-Q2-C03</t>
  </si>
  <si>
    <t>P16-Q3-C01</t>
  </si>
  <si>
    <t>P16-Q3-C02</t>
  </si>
  <si>
    <t>P16-Q3-C03</t>
  </si>
  <si>
    <t>P16-Q4-C01</t>
  </si>
  <si>
    <t>P16-Q4-C02</t>
  </si>
  <si>
    <t>P16-Q4-C03</t>
  </si>
  <si>
    <t>P16-Q5-C01</t>
  </si>
  <si>
    <t>P16-Q5-C02</t>
  </si>
  <si>
    <t>P16-Q5-C03</t>
  </si>
  <si>
    <t>P16-Q6-C01</t>
  </si>
  <si>
    <t>P16-Q6-C02</t>
  </si>
  <si>
    <t>P16-Q6-C03</t>
  </si>
  <si>
    <t>Main fine-blanking punch</t>
  </si>
  <si>
    <t>Precision disc with hole</t>
  </si>
  <si>
    <t>Outside Ø100 mm; thickness 5 mm; center hole Ø20 mm</t>
  </si>
  <si>
    <t>Lubrication and temperature control as needed; no default cooling circuits</t>
  </si>
  <si>
    <t>P17-Q1-C01</t>
  </si>
  <si>
    <t>Outside profile and clearances require precision design.</t>
  </si>
  <si>
    <t>Fine-blanking die</t>
  </si>
  <si>
    <t>P17-Q1-C02</t>
  </si>
  <si>
    <t>10 mm working land plus 40 mm support are assumed, not validated for force.</t>
  </si>
  <si>
    <t>Counterpunch</t>
  </si>
  <si>
    <t>MALE COUNTERPUNCH</t>
  </si>
  <si>
    <t>P17-Q1-C03</t>
  </si>
  <si>
    <t>Counterpressure contact and ejection profile need design.</t>
  </si>
  <si>
    <t>Hole punch</t>
  </si>
  <si>
    <t>P17-Q1-C04</t>
  </si>
  <si>
    <t>Hole profile, unsupported length and clearance require design.</t>
  </si>
  <si>
    <t>V-ring holder</t>
  </si>
  <si>
    <t>V-RING HOLDER</t>
  </si>
  <si>
    <t>Tough hardened tool steel</t>
  </si>
  <si>
    <t>P17-Q1-C05</t>
  </si>
  <si>
    <t>Envelope reserved for V-ring around disc; pressure and spacing unvalidated.</t>
  </si>
  <si>
    <t>P17-Q2-C01</t>
  </si>
  <si>
    <t>P17-Q2-C02</t>
  </si>
  <si>
    <t>P17-Q2-C03</t>
  </si>
  <si>
    <t>P17-Q2-C04</t>
  </si>
  <si>
    <t>P17-Q2-C05</t>
  </si>
  <si>
    <t>P17-Q3-C01</t>
  </si>
  <si>
    <t>P17-Q3-C02</t>
  </si>
  <si>
    <t>P17-Q3-C03</t>
  </si>
  <si>
    <t>P17-Q3-C04</t>
  </si>
  <si>
    <t>P17-Q3-C05</t>
  </si>
  <si>
    <t>P17-Q4-C01</t>
  </si>
  <si>
    <t>P17-Q4-C02</t>
  </si>
  <si>
    <t>P17-Q4-C03</t>
  </si>
  <si>
    <t>P17-Q4-C04</t>
  </si>
  <si>
    <t>P17-Q4-C05</t>
  </si>
  <si>
    <t>P17-Q5-C01</t>
  </si>
  <si>
    <t>P17-Q5-C02</t>
  </si>
  <si>
    <t>P17-Q5-C03</t>
  </si>
  <si>
    <t>P17-Q5-C04</t>
  </si>
  <si>
    <t>P17-Q5-C05</t>
  </si>
  <si>
    <t>P17-Q6-C01</t>
  </si>
  <si>
    <t>P17-Q6-C02</t>
  </si>
  <si>
    <t>P17-Q6-C03</t>
  </si>
  <si>
    <t>P17-Q6-C04</t>
  </si>
  <si>
    <t>P17-Q6-C05</t>
  </si>
  <si>
    <t>Upper tool carrier</t>
  </si>
  <si>
    <t>Pierced U-bracket</t>
  </si>
  <si>
    <t>Length 60 mm; outside width 40 mm; legs 20 mm; sheet 1 mm; two Ø6 mm holes</t>
  </si>
  <si>
    <t>42CrMo4 / suitable die-set steel</t>
  </si>
  <si>
    <t>Cold stamping; normally no active cooling</t>
  </si>
  <si>
    <t>P18-Q1-C01</t>
  </si>
  <si>
    <t>280 mm active length = 4 assumed stations × 70 mm pitch.</t>
  </si>
  <si>
    <t>Lower die carrier</t>
  </si>
  <si>
    <t>P18-Q1-C02</t>
  </si>
  <si>
    <t>Station layout, center of pressure and shut height unvalidated.</t>
  </si>
  <si>
    <t>Blanking / trimming punch</t>
  </si>
  <si>
    <t>P18-Q1-C03</t>
  </si>
  <si>
    <t>80 mm flat-width envelope is provisional; actual bend allowance changes blank.</t>
  </si>
  <si>
    <t>Blanking / trimming die insert</t>
  </si>
  <si>
    <t>P18-Q1-C04</t>
  </si>
  <si>
    <t>Dedicated cutting insert mounted in carrier.</t>
  </si>
  <si>
    <t>P18-Q1-C05</t>
  </si>
  <si>
    <t>Two bending stations assumed; nose and springback must be designed.</t>
  </si>
  <si>
    <t>Bending die insert</t>
  </si>
  <si>
    <t>P18-Q1-C06</t>
  </si>
  <si>
    <t>One insert per assumed bending station.</t>
  </si>
  <si>
    <t>Piercing punch</t>
  </si>
  <si>
    <t>P18-Q1-C07</t>
  </si>
  <si>
    <t>Hole punches only; purchased die buttons, pilots and guides are additional.</t>
  </si>
  <si>
    <t>P18-Q2-C01</t>
  </si>
  <si>
    <t>P18-Q2-C02</t>
  </si>
  <si>
    <t>P18-Q2-C03</t>
  </si>
  <si>
    <t>P18-Q2-C04</t>
  </si>
  <si>
    <t>P18-Q2-C05</t>
  </si>
  <si>
    <t>P18-Q2-C06</t>
  </si>
  <si>
    <t>P18-Q2-C07</t>
  </si>
  <si>
    <t>P18-Q3-C01</t>
  </si>
  <si>
    <t>P18-Q3-C02</t>
  </si>
  <si>
    <t>P18-Q3-C03</t>
  </si>
  <si>
    <t>P18-Q3-C04</t>
  </si>
  <si>
    <t>P18-Q3-C05</t>
  </si>
  <si>
    <t>P18-Q3-C06</t>
  </si>
  <si>
    <t>P18-Q3-C07</t>
  </si>
  <si>
    <t>P18-Q4-C01</t>
  </si>
  <si>
    <t>P18-Q4-C02</t>
  </si>
  <si>
    <t>P18-Q4-C03</t>
  </si>
  <si>
    <t>P18-Q4-C04</t>
  </si>
  <si>
    <t>P18-Q4-C05</t>
  </si>
  <si>
    <t>P18-Q4-C06</t>
  </si>
  <si>
    <t>P18-Q4-C07</t>
  </si>
  <si>
    <t>P18-Q5-C01</t>
  </si>
  <si>
    <t>P18-Q5-C02</t>
  </si>
  <si>
    <t>P18-Q5-C03</t>
  </si>
  <si>
    <t>P18-Q5-C04</t>
  </si>
  <si>
    <t>P18-Q5-C05</t>
  </si>
  <si>
    <t>P18-Q5-C06</t>
  </si>
  <si>
    <t>P18-Q5-C07</t>
  </si>
  <si>
    <t>P18-Q6-C01</t>
  </si>
  <si>
    <t>P18-Q6-C02</t>
  </si>
  <si>
    <t>P18-Q6-C03</t>
  </si>
  <si>
    <t>P18-Q6-C04</t>
  </si>
  <si>
    <t>P18-Q6-C05</t>
  </si>
  <si>
    <t>P18-Q6-C06</t>
  </si>
  <si>
    <t>P18-Q6-C07</t>
  </si>
  <si>
    <t>Hydroforming die half</t>
  </si>
  <si>
    <t>Locally expanded tube</t>
  </si>
  <si>
    <t>Length 150 mm; start Ø30 × 1.5 mm; center expanded to Ø40 over 50 mm</t>
  </si>
  <si>
    <t>Cold hydroforming; usually no dedicated die cooling</t>
  </si>
  <si>
    <t>P19-Q1-C01</t>
  </si>
  <si>
    <t>Half cavity depth 20 mm; split along tube axis. 40 mm support budget is not pressure-rated.</t>
  </si>
  <si>
    <t>End sealing / feeding punch</t>
  </si>
  <si>
    <t>MALE END PUNCH</t>
  </si>
  <si>
    <t>Hardened suitable tool steel</t>
  </si>
  <si>
    <t>P19-Q1-C02</t>
  </si>
  <si>
    <t>Contact geometry follows tube ID/end seal; Ø30 mm is nominal envelope, not seal diameter.</t>
  </si>
  <si>
    <t>P19-Q2-C01</t>
  </si>
  <si>
    <t>P19-Q2-C02</t>
  </si>
  <si>
    <t>P19-Q3-C01</t>
  </si>
  <si>
    <t>P19-Q3-C02</t>
  </si>
  <si>
    <t>P19-Q4-C01</t>
  </si>
  <si>
    <t>P19-Q4-C02</t>
  </si>
  <si>
    <t>P19-Q5-C01</t>
  </si>
  <si>
    <t>P19-Q5-C02</t>
  </si>
  <si>
    <t>P19-Q6-C01</t>
  </si>
  <si>
    <t>P19-Q6-C02</t>
  </si>
  <si>
    <t>Hydromechanical forming punch</t>
  </si>
  <si>
    <t>Shallow rectangular drawn cup</t>
  </si>
  <si>
    <t>Outside 100 × 80 × 25 mm; sheet 1 mm; corner radii nominal 8 mm</t>
  </si>
  <si>
    <t>Cold hydromechanical drawing; chamber and seals pressure-rated</t>
  </si>
  <si>
    <t>P20-Q1-C01</t>
  </si>
  <si>
    <t>Approximate inside cup dimensions before radii/springback; support flange reserved.</t>
  </si>
  <si>
    <t>Blank-holder ring</t>
  </si>
  <si>
    <t>BLANK HOLDER</t>
  </si>
  <si>
    <t>Suitable hardened steel</t>
  </si>
  <si>
    <t>P20-Q1-C02</t>
  </si>
  <si>
    <t>200 × 180 mm holder envelope assumed for draw-in; actual blank development required.</t>
  </si>
  <si>
    <t>Rated fluid pressure chamber</t>
  </si>
  <si>
    <t>FLUID CHAMBER</t>
  </si>
  <si>
    <t>Purchased assembly — no milling block</t>
  </si>
  <si>
    <t>Supplier specification</t>
  </si>
  <si>
    <t>P20-Q1-C03</t>
  </si>
  <si>
    <t>Required purchased/engineered pressure assembly; obtain rated dimensions from press supplier, not a generic billet estimate.</t>
  </si>
  <si>
    <t>P20-Q2-C01</t>
  </si>
  <si>
    <t>P20-Q2-C02</t>
  </si>
  <si>
    <t>P20-Q2-C03</t>
  </si>
  <si>
    <t>P20-Q3-C01</t>
  </si>
  <si>
    <t>P20-Q3-C02</t>
  </si>
  <si>
    <t>P20-Q3-C03</t>
  </si>
  <si>
    <t>P20-Q4-C01</t>
  </si>
  <si>
    <t>P20-Q4-C02</t>
  </si>
  <si>
    <t>P20-Q4-C03</t>
  </si>
  <si>
    <t>P20-Q5-C01</t>
  </si>
  <si>
    <t>P20-Q5-C02</t>
  </si>
  <si>
    <t>P20-Q5-C03</t>
  </si>
  <si>
    <t>P20-Q6-C01</t>
  </si>
  <si>
    <t>P20-Q6-C02</t>
  </si>
  <si>
    <t>P20-Q6-C03</t>
  </si>
  <si>
    <t>Hemispherical mandrel</t>
  </si>
  <si>
    <t>Spun hemisphere</t>
  </si>
  <si>
    <t>Outside Ø100 mm; depth 50 mm; initial sheet 1.5 mm</t>
  </si>
  <si>
    <t>4140 / suitable tool steel</t>
  </si>
  <si>
    <t>Cold spinning baseline; no active cooling</t>
  </si>
  <si>
    <t>P21-Q1-C01</t>
  </si>
  <si>
    <t>Nominal inner hemisphere Ø97 mm; 50 mm axial mounting allowance. Final thickness/springback may change profile.</t>
  </si>
  <si>
    <t>Forming roller blank</t>
  </si>
  <si>
    <t>ROLLER</t>
  </si>
  <si>
    <t>A2 / D2, selected for contact duty</t>
  </si>
  <si>
    <t>P21-Q1-C02</t>
  </si>
  <si>
    <t>Assumed finished Ø80 × 25 mm roller; nose radius and bearing bore still to specify.</t>
  </si>
  <si>
    <t>P21-Q2-C01</t>
  </si>
  <si>
    <t>P21-Q2-C02</t>
  </si>
  <si>
    <t>P21-Q3-C01</t>
  </si>
  <si>
    <t>P21-Q3-C02</t>
  </si>
  <si>
    <t>P21-Q4-C01</t>
  </si>
  <si>
    <t>P21-Q4-C02</t>
  </si>
  <si>
    <t>P21-Q5-C01</t>
  </si>
  <si>
    <t>P21-Q5-C02</t>
  </si>
  <si>
    <t>P21-Q6-C01</t>
  </si>
  <si>
    <t>P21-Q6-C02</t>
  </si>
  <si>
    <t>Material options by lifetime quantity</t>
  </si>
  <si>
    <t>Process family</t>
  </si>
  <si>
    <t>Quantity band</t>
  </si>
  <si>
    <t>Qty min</t>
  </si>
  <si>
    <t>Qty max</t>
  </si>
  <si>
    <t>Tooling concept</t>
  </si>
  <si>
    <t>Working-grade candidates</t>
  </si>
  <si>
    <t>Treatment</t>
  </si>
  <si>
    <t>Scope</t>
  </si>
  <si>
    <t>Selection conditions</t>
  </si>
  <si>
    <t>Technical background / provenance</t>
  </si>
  <si>
    <t>Metal forming and casting</t>
  </si>
  <si>
    <t>Standard punches and V-dies</t>
  </si>
  <si>
    <t>42CrMo4</t>
  </si>
  <si>
    <t>Hardened</t>
  </si>
  <si>
    <t>Sheet-metal press brake</t>
  </si>
  <si>
    <t>Standard tools can serve every volume. Select by sheet strength, thickness and contact stress.</t>
  </si>
  <si>
    <t>https://www.uddeholm.com/en/applications/blanking-and-forming/</t>
  </si>
  <si>
    <t>Standard or dedicated profile tools</t>
  </si>
  <si>
    <t>42CrMo4 / A2</t>
  </si>
  <si>
    <t>Suitably hardened</t>
  </si>
  <si>
    <t>Dedicated tools where justified</t>
  </si>
  <si>
    <t>Replaceable working inserts</t>
  </si>
  <si>
    <t>A2; D2 where wear dominates</t>
  </si>
  <si>
    <t>Automated tooling with wear inserts</t>
  </si>
  <si>
    <t>A2 / premium cold-work steel</t>
  </si>
  <si>
    <t>Trial die</t>
  </si>
  <si>
    <t>Nitrided</t>
  </si>
  <si>
    <t>Hot aluminum extrusion</t>
  </si>
  <si>
    <t>Count comparable cut pieces; also assess meters, tonnes and profile complexity. Other alloys require separate selection.</t>
  </si>
  <si>
    <t>https://www.uddeholm.com/us/en-us/applications/extrusion-of-metal-en-us/</t>
  </si>
  <si>
    <t>Single-profile die</t>
  </si>
  <si>
    <t>Production die</t>
  </si>
  <si>
    <t>Supported production die</t>
  </si>
  <si>
    <t>Optimized production die</t>
  </si>
  <si>
    <t>H13 / H13 ESR</t>
  </si>
  <si>
    <t>Controlled heat treatment and nitriding</t>
  </si>
  <si>
    <t>Optimized die with planned replacements</t>
  </si>
  <si>
    <t>H13 ESR / specialist hot-work steel</t>
  </si>
  <si>
    <t>Controlled heat treatment and surface treatment</t>
  </si>
  <si>
    <t>Single-cavity insert in reusable base</t>
  </si>
  <si>
    <t>Heat treated</t>
  </si>
  <si>
    <t>High-pressure aluminum die casting</t>
  </si>
  <si>
    <t>Low-volume dedicated tooling may be uneconomical. Alloy, thermal fatigue and cooling govern selection.</t>
  </si>
  <si>
    <t>https://www.uddeholm.com/us/en-us/applications/die-casting-en-us/</t>
  </si>
  <si>
    <t>Dedicated single-cavity die</t>
  </si>
  <si>
    <t>Production die with cooling and slides</t>
  </si>
  <si>
    <t>H13; ESR where required</t>
  </si>
  <si>
    <t>H13 ESR</t>
  </si>
  <si>
    <t>Qualified heat treatment</t>
  </si>
  <si>
    <t>Replaceable cavity inserts; multiple cavities if justified</t>
  </si>
  <si>
    <t>H13 ESR / Dievar</t>
  </si>
  <si>
    <t>Loose pattern or printed sand mold</t>
  </si>
  <si>
    <t>Wood / tooling resin; sand for printed mold</t>
  </si>
  <si>
    <t>Seal pattern surfaces</t>
  </si>
  <si>
    <t>Reusable patterns and core boxes</t>
  </si>
  <si>
    <t>Patterns make expendable sand molds and normally do not contact molten metal.</t>
  </si>
  <si>
    <t>Prior discussion: indicative engineering selection, not a supplier specification</t>
  </si>
  <si>
    <t>Loose pattern and core boxes</t>
  </si>
  <si>
    <t>Wood / polyurethane tooling board / epoxy</t>
  </si>
  <si>
    <t>Seal and protect surfaces</t>
  </si>
  <si>
    <t>Durable patterns and core boxes</t>
  </si>
  <si>
    <t>Epoxy tooling resin / 6061 aluminum</t>
  </si>
  <si>
    <t>Wear protection as required</t>
  </si>
  <si>
    <t>Matchplates and core boxes</t>
  </si>
  <si>
    <t>Aluminum</t>
  </si>
  <si>
    <t>Surface finish to suit molding</t>
  </si>
  <si>
    <t>Production patterns with wear inserts</t>
  </si>
  <si>
    <t>Aluminum / cast iron</t>
  </si>
  <si>
    <t>Automated pattern equipment</t>
  </si>
  <si>
    <t>Aluminum with steel inserts / cast iron / steel</t>
  </si>
  <si>
    <t>Durable working surfaces</t>
  </si>
  <si>
    <t>Printed expendable patterns; no permanent wax die</t>
  </si>
  <si>
    <t>Castable pattern wax/resin</t>
  </si>
  <si>
    <t>Qualified burnout system</t>
  </si>
  <si>
    <t>Wax-pattern tooling</t>
  </si>
  <si>
    <t>Aluminum remains viable above 100,000 patterns. Ceramic-core tooling has separate abrasion requirements.</t>
  </si>
  <si>
    <t>https://www.texmoblank.com/investment-casting/tooling</t>
  </si>
  <si>
    <t>Printed patterns or simple wax die</t>
  </si>
  <si>
    <t>Castable pattern wax/resin / 6061 aluminum</t>
  </si>
  <si>
    <t>Finish suitable for wax release</t>
  </si>
  <si>
    <t>Single-cavity wax die</t>
  </si>
  <si>
    <t>6061 / 7075 aluminum</t>
  </si>
  <si>
    <t>Production wax die with slides as needed</t>
  </si>
  <si>
    <t>Local wear protection</t>
  </si>
  <si>
    <t>Automated or multicavity wax tooling</t>
  </si>
  <si>
    <t>Aluminum with steel wear inserts</t>
  </si>
  <si>
    <t>Hardened wear inserts</t>
  </si>
  <si>
    <t>Durable wax tooling with replaceable inserts</t>
  </si>
  <si>
    <t>Simple dedicated dies</t>
  </si>
  <si>
    <t>H13 / 1.2714</t>
  </si>
  <si>
    <t>Hot closed-die forging</t>
  </si>
  <si>
    <t>Select by forged alloy, die size and press/hammer loading. Cold forging requires a separate assessment.</t>
  </si>
  <si>
    <t>https://www.uddeholm.com/app/uploads/sites/240/2024/05/Tech-Uddeholm-Forging-EN-1.pdf</t>
  </si>
  <si>
    <t>Simple blocker and finisher dies</t>
  </si>
  <si>
    <t>Dedicated die set</t>
  </si>
  <si>
    <t>H13 / H11 / 1.2714</t>
  </si>
  <si>
    <t>Production dies and trimming tools</t>
  </si>
  <si>
    <t>Grade selected separately for trimming</t>
  </si>
  <si>
    <t>Replaceable die inserts</t>
  </si>
  <si>
    <t>H13; premium quality if justified</t>
  </si>
  <si>
    <t>Production inserts with refurbishment plan</t>
  </si>
  <si>
    <t>H13 ESR / Dievar / Formvar</t>
  </si>
  <si>
    <t>Plastics processing</t>
  </si>
  <si>
    <t>P20 for suitable unfilled resin</t>
  </si>
  <si>
    <t>Prehardened</t>
  </si>
  <si>
    <t>Profile die and calibration tooling</t>
  </si>
  <si>
    <t>Resin corrosion and fillers may require upgraded tooling at any volume. Screw/barrel metallurgy is separate.</t>
  </si>
  <si>
    <t>https://www.us.bohler.com/en-us/product-category/plastic-mold-steels-en-us/</t>
  </si>
  <si>
    <t>Simple die and calibrator</t>
  </si>
  <si>
    <t>P20</t>
  </si>
  <si>
    <t>Dedicated die</t>
  </si>
  <si>
    <t>P20; stainless if required</t>
  </si>
  <si>
    <t>Condition selected by resin</t>
  </si>
  <si>
    <t>P20 / 1.2083</t>
  </si>
  <si>
    <t>Harden stainless where required</t>
  </si>
  <si>
    <t>Replaceable die lips</t>
  </si>
  <si>
    <t>P20 / hardened 1.2083; wear grades if filled</t>
  </si>
  <si>
    <t>Resin-specific surface treatment</t>
  </si>
  <si>
    <t>Optimized die and wear inserts</t>
  </si>
  <si>
    <t>Hardened 1.2083 / specialist wear-resistant grades</t>
  </si>
  <si>
    <t>Qualified surface treatment</t>
  </si>
  <si>
    <t>Simple single-cavity mold</t>
  </si>
  <si>
    <t>6061 aluminum</t>
  </si>
  <si>
    <t>Machined and finished</t>
  </si>
  <si>
    <t>Blow mold; architecture depends on process</t>
  </si>
  <si>
    <t>Aluminum may remain optimal at high volume for cooling. PET stretch and extrusion blow molding differ.</t>
  </si>
  <si>
    <t>Single-cavity mold</t>
  </si>
  <si>
    <t>Cooled production mold</t>
  </si>
  <si>
    <t>Production mold with neck/pinch-off inserts</t>
  </si>
  <si>
    <t>Aluminum with steel inserts</t>
  </si>
  <si>
    <t>Harden local wear inserts</t>
  </si>
  <si>
    <t>Multicavity or multistation molds</t>
  </si>
  <si>
    <t>Aluminum with hardened steel inserts</t>
  </si>
  <si>
    <t>High-conductivity molds with wear inserts</t>
  </si>
  <si>
    <t>Aluminum; H13 / stainless wear inserts</t>
  </si>
  <si>
    <t>Matched tool; aluminum only for qualified light-duty trials</t>
  </si>
  <si>
    <t>P20; aluminum for suitable trials</t>
  </si>
  <si>
    <t>Prehardened P20</t>
  </si>
  <si>
    <t>Thermoset compound baseline</t>
  </si>
  <si>
    <t>Glass/mineral-filled compounds can require hard tooling even for 1–20 parts. Qualify temperature and pressure.</t>
  </si>
  <si>
    <t>Simple heated mold</t>
  </si>
  <si>
    <t>Matched mold</t>
  </si>
  <si>
    <t>P20 / H13 for abrasive compounds</t>
  </si>
  <si>
    <t>Harden H13</t>
  </si>
  <si>
    <t>Production mold</t>
  </si>
  <si>
    <t>P20 / H13 / 1.2083</t>
  </si>
  <si>
    <t>Compound-specific hardening</t>
  </si>
  <si>
    <t>Production tool for demanding duty</t>
  </si>
  <si>
    <t>H13 / 1.2083</t>
  </si>
  <si>
    <t>Hardened working surfaces</t>
  </si>
  <si>
    <t>Multicavity or automated tool</t>
  </si>
  <si>
    <t>H13 / 1.2083 / specialist wear steel</t>
  </si>
  <si>
    <t>Hardened and surface-treated as needed</t>
  </si>
  <si>
    <t>Single-cavity mold with transfer pot and plunger</t>
  </si>
  <si>
    <t>P20 with hardened wear components</t>
  </si>
  <si>
    <t>Harden pot/plunger surfaces</t>
  </si>
  <si>
    <t>Concentrated wear at pot, plunger, runners and gates. Electronics encapsulation can need specialized grades.</t>
  </si>
  <si>
    <t>Simple mold with hardened inserts</t>
  </si>
  <si>
    <t>Harden transfer components</t>
  </si>
  <si>
    <t>Mold with hardened gates and transfer components</t>
  </si>
  <si>
    <t>P20 / H13 cavities</t>
  </si>
  <si>
    <t>Harden wear components</t>
  </si>
  <si>
    <t>Production mold inserts</t>
  </si>
  <si>
    <t>Multicavity mold with replaceable wear parts</t>
  </si>
  <si>
    <t>Automated multicavity tooling</t>
  </si>
  <si>
    <t>Premium hardened mold steel / wear-resistant inserts</t>
  </si>
  <si>
    <t>Qualified hardening and coating</t>
  </si>
  <si>
    <t>Fabricated sheet mold or machined mold</t>
  </si>
  <si>
    <t>DC01-type sheet steel / 6061 aluminum</t>
  </si>
  <si>
    <t>Finished mold surface</t>
  </si>
  <si>
    <t>Low-pressure heated shell molds</t>
  </si>
  <si>
    <t>Increase mold count and optimize heat transfer. Higher volume does not normally require hardened tool steel.</t>
  </si>
  <si>
    <t>https://www.rotomolding.org/design-guide-pt1-ch4</t>
  </si>
  <si>
    <t>Fabricated or cast mold</t>
  </si>
  <si>
    <t>Steel / A356 aluminum</t>
  </si>
  <si>
    <t>Cast, machined or fabricated mold</t>
  </si>
  <si>
    <t>A356 / machined aluminum / steel</t>
  </si>
  <si>
    <t>Robust frames and closures; additional molds</t>
  </si>
  <si>
    <t>Aluminum / steel</t>
  </si>
  <si>
    <t>Durable closures and parting surfaces</t>
  </si>
  <si>
    <t>Multiple optimized molds</t>
  </si>
  <si>
    <t>Maintain surfaces and closures</t>
  </si>
  <si>
    <t>Fleet of production molds</t>
  </si>
  <si>
    <t>Powder metallurgy and composites</t>
  </si>
  <si>
    <t>Simple compaction die and punches</t>
  </si>
  <si>
    <t>A2 / D2</t>
  </si>
  <si>
    <t>Powder compaction tooling</t>
  </si>
  <si>
    <t>Specify carbide binder and grain size. Die, punch and core rod may need different materials.</t>
  </si>
  <si>
    <t>https://www.hyperionmt.com/en/products/forming-tools/compaction-components/</t>
  </si>
  <si>
    <t>Dedicated compaction tool set</t>
  </si>
  <si>
    <t>Compaction tool set</t>
  </si>
  <si>
    <t>D2 / M2; carbide if powder demands</t>
  </si>
  <si>
    <t>Hardened steel</t>
  </si>
  <si>
    <t>Tool set with die inserts if justified</t>
  </si>
  <si>
    <t>D2 / M2 with WC-Co inserts</t>
  </si>
  <si>
    <t>Hardened steel and selected carbide</t>
  </si>
  <si>
    <t>Carbide die liners and durable punches</t>
  </si>
  <si>
    <t>WC-Co liners; tool steel / PM-steel punches</t>
  </si>
  <si>
    <t>Application-specific grades</t>
  </si>
  <si>
    <t>Engineered modular compaction tooling</t>
  </si>
  <si>
    <t>WC-Co carbide and PM tool steel</t>
  </si>
  <si>
    <t>Single-cavity trial insert</t>
  </si>
  <si>
    <t>P20; hard inserts if needed</t>
  </si>
  <si>
    <t>Feedstock-specific wear protection</t>
  </si>
  <si>
    <t>Powder/binder injection molding</t>
  </si>
  <si>
    <t>Mold does not see sintering temperature. Debinding and sintering fixtures require separate selection.</t>
  </si>
  <si>
    <t>P20 / H13</t>
  </si>
  <si>
    <t>Harden H13 as needed</t>
  </si>
  <si>
    <t>Single-cavity production mold</t>
  </si>
  <si>
    <t>P20 / hardened H13</t>
  </si>
  <si>
    <t>Feedstock-specific</t>
  </si>
  <si>
    <t>Hardened cavity and core tooling</t>
  </si>
  <si>
    <t>Multicavity production mold</t>
  </si>
  <si>
    <t>Production mold with durable wear inserts</t>
  </si>
  <si>
    <t>Premium hardened steel / PM tool steel; localized carbide</t>
  </si>
  <si>
    <t>Qualified wear treatments</t>
  </si>
  <si>
    <t>One-sided or simple matched mold</t>
  </si>
  <si>
    <t>Temperature-rated epoxy board / glass-epoxy / aluminum</t>
  </si>
  <si>
    <t>Qualify cure temperature</t>
  </si>
  <si>
    <t>Lay-up, infusion, RTM or autoclave</t>
  </si>
  <si>
    <t>Cure temperature, pressure and expansion govern grade. Invar can be required for a single precision part.</t>
  </si>
  <si>
    <t>https://touchstoneac.com/metal-composite-tooling/</t>
  </si>
  <si>
    <t>Durable lay-up or infusion tooling</t>
  </si>
  <si>
    <t>Glass-epoxy / carbon-epoxy / 6061 aluminum</t>
  </si>
  <si>
    <t>Qualify cure and thermal expansion</t>
  </si>
  <si>
    <t>Composite or metallic production tooling</t>
  </si>
  <si>
    <t>Carbon-epoxy / aluminum; P20 for suitable RTM</t>
  </si>
  <si>
    <t>Process-specific</t>
  </si>
  <si>
    <t>Durable production tooling</t>
  </si>
  <si>
    <t>Carbon-epoxy / P20 / Invar 36</t>
  </si>
  <si>
    <t>Multiple durable production molds</t>
  </si>
  <si>
    <t>P20 / Invar 36 / qualified composite</t>
  </si>
  <si>
    <t>Automated matched tooling where suitable</t>
  </si>
  <si>
    <t>Steel; Invar 36 where thermal accuracy requires</t>
  </si>
  <si>
    <t>Heated trial die with guides</t>
  </si>
  <si>
    <t>P20 / suitable tool steel</t>
  </si>
  <si>
    <t>Polished</t>
  </si>
  <si>
    <t>Heated continuous-profile die</t>
  </si>
  <si>
    <t>Consider cumulative meters and fiber abrasion, not just piece count. Qualify die grade and coating together.</t>
  </si>
  <si>
    <t>Simple heated die</t>
  </si>
  <si>
    <t>P20 / D2</t>
  </si>
  <si>
    <t>Durable heated die</t>
  </si>
  <si>
    <t>D2 where abrasion warrants</t>
  </si>
  <si>
    <t>Polished and hardened as needed</t>
  </si>
  <si>
    <t>D2</t>
  </si>
  <si>
    <t>Hardened and surface-treated</t>
  </si>
  <si>
    <t>Die with replaceable wear sections</t>
  </si>
  <si>
    <t>D2 / specialist wear steel</t>
  </si>
  <si>
    <t>Coated and polished</t>
  </si>
  <si>
    <t>Optimized wear-resistant die</t>
  </si>
  <si>
    <t>D2 / specialist steel; localized carbide</t>
  </si>
  <si>
    <t>Qualified coating and finish</t>
  </si>
  <si>
    <t>Sheet-metal cutting and forming</t>
  </si>
  <si>
    <t>Standard turret tooling or simple punch/die</t>
  </si>
  <si>
    <t>Cold sheet cutting</t>
  </si>
  <si>
    <t>Clearance, sheet strength and chipping risk control grade. Carbide requires suitable geometry and alignment.</t>
  </si>
  <si>
    <t>Standard or dedicated punch/die</t>
  </si>
  <si>
    <t>Dedicated cutting inserts</t>
  </si>
  <si>
    <t>A2 / D2 / M2</t>
  </si>
  <si>
    <t>Guided die set</t>
  </si>
  <si>
    <t>D2 / M2; tougher grade if needed</t>
  </si>
  <si>
    <t>Replaceable cutting inserts</t>
  </si>
  <si>
    <t>D2 / PM tool steel</t>
  </si>
  <si>
    <t>Production die with durable cutting inserts</t>
  </si>
  <si>
    <t>PM tool steel / WC-Co carbide</t>
  </si>
  <si>
    <t>Engineered clearance and maintenance</t>
  </si>
  <si>
    <t>Dedicated precision tool</t>
  </si>
  <si>
    <t>M2 / Caldie / PM tool steel</t>
  </si>
  <si>
    <t>Qualified hardening</t>
  </si>
  <si>
    <t>Precision punch/die, V-ring and counterpunch</t>
  </si>
  <si>
    <t>Premium tooling can be needed at low volume. Select carbide only where loading permits.</t>
  </si>
  <si>
    <t>https://www.uddeholm.com/us/en-us/applications/fine-blanking-en-us/</t>
  </si>
  <si>
    <t>Precision production tool</t>
  </si>
  <si>
    <t>Caldie / Vanadis 4 Extra / Vanadis 23</t>
  </si>
  <si>
    <t>Suitable PM tool steel</t>
  </si>
  <si>
    <t>Premium PM tool steel</t>
  </si>
  <si>
    <t>Durable precision tooling</t>
  </si>
  <si>
    <t>Premium PM tool steel; selected carbide inserts</t>
  </si>
  <si>
    <t>Qualified hardening and wear control</t>
  </si>
  <si>
    <t>Simplified progressive die if required; usually uneconomical</t>
  </si>
  <si>
    <t>A2 / D2 inserts</t>
  </si>
  <si>
    <t>Harden working inserts</t>
  </si>
  <si>
    <t>Multistation strip-fed stamping</t>
  </si>
  <si>
    <t>Very low volumes may favor separate operations. Cutting, bending and drawing stations require separate grade choices.</t>
  </si>
  <si>
    <t>Modular or simple progressive die</t>
  </si>
  <si>
    <t>Dedicated progressive die</t>
  </si>
  <si>
    <t>A2 / D2 / M2 by station</t>
  </si>
  <si>
    <t>Station-specific hardening</t>
  </si>
  <si>
    <t>Production multistation die</t>
  </si>
  <si>
    <t>D2 / M2 / tough cold-work steel</t>
  </si>
  <si>
    <t>Replaceable inserts and production monitoring</t>
  </si>
  <si>
    <t>Automated die with durable inserts</t>
  </si>
  <si>
    <t>PM tool steel / carbide cutting inserts; forming grades by station</t>
  </si>
  <si>
    <t>Station-specific treatments</t>
  </si>
  <si>
    <t>Simple split die</t>
  </si>
  <si>
    <t>P20 / 4140</t>
  </si>
  <si>
    <t>Condition qualified for full pressure</t>
  </si>
  <si>
    <t>Split cavity die with axial punches and seals</t>
  </si>
  <si>
    <t>Design for full internal pressure at all volumes. Sliding, die support and sealing control wear.</t>
  </si>
  <si>
    <t>Dedicated split die</t>
  </si>
  <si>
    <t>Production die with hard inserts if needed</t>
  </si>
  <si>
    <t>Local hardening as needed</t>
  </si>
  <si>
    <t>Die with replaceable high-contact inserts</t>
  </si>
  <si>
    <t>A2 / H13 inserts in supported body</t>
  </si>
  <si>
    <t>Production die with durable inserts</t>
  </si>
  <si>
    <t>A2 / H13 / premium cold-work steel</t>
  </si>
  <si>
    <t>Modular production die with optimized sealing</t>
  </si>
  <si>
    <t>Single form tool</t>
  </si>
  <si>
    <t>6061 aluminum if loading permits; otherwise P20</t>
  </si>
  <si>
    <t>Pressure-qualified condition</t>
  </si>
  <si>
    <t>Fluid/diaphragm forming or hydromechanical drawing</t>
  </si>
  <si>
    <t>Tool architecture varies by process. Aluminum is conditional on pressure, geometry and support.</t>
  </si>
  <si>
    <t>6061 / P20</t>
  </si>
  <si>
    <t>Production form tool</t>
  </si>
  <si>
    <t>Aluminum / P20 / 4140</t>
  </si>
  <si>
    <t>Production form tool with hard radius inserts</t>
  </si>
  <si>
    <t>P20 / 4140 with hard inserts</t>
  </si>
  <si>
    <t>Harden wear zones</t>
  </si>
  <si>
    <t>Steel form tool with wear inserts</t>
  </si>
  <si>
    <t>Steel body; A2 / cold-work-steel inserts</t>
  </si>
  <si>
    <t>Harden wear inserts</t>
  </si>
  <si>
    <t>Production form tool with replaceable working surfaces</t>
  </si>
  <si>
    <t>A2 / suitable premium tool steel at wear zones</t>
  </si>
  <si>
    <t>Harden working surfaces</t>
  </si>
  <si>
    <t>Mandrel and steel roller for light-duty work</t>
  </si>
  <si>
    <t>Hardwood / tooling resin / 6061 mandrel; steel roller</t>
  </si>
  <si>
    <t>Harden roller</t>
  </si>
  <si>
    <t>Conventional cold spinning</t>
  </si>
  <si>
    <t>Light-duty wood/resin mandrels only. Hot spinning and heavy flow forming require separate selection.</t>
  </si>
  <si>
    <t>Mandrel and roller</t>
  </si>
  <si>
    <t>6061 / C45 steel mandrel</t>
  </si>
  <si>
    <t>Harden roller as needed</t>
  </si>
  <si>
    <t>Mandrel and hardened roller</t>
  </si>
  <si>
    <t>C45 / 4140 mandrel; suitable tool-steel roller</t>
  </si>
  <si>
    <t>CNC mandrel and rollers</t>
  </si>
  <si>
    <t>4140 mandrel; A2 / D2 rollers as appropriate</t>
  </si>
  <si>
    <t>Harden working surfaces as needed</t>
  </si>
  <si>
    <t>Mandrel with replaceable wear areas</t>
  </si>
  <si>
    <t>Hardened 4140 / tool steel</t>
  </si>
  <si>
    <t>Durable production mandrel and rollers</t>
  </si>
  <si>
    <t>4140 / A2 / suitable wear steel</t>
  </si>
  <si>
    <t>Loading-specific hardening</t>
  </si>
  <si>
    <t>How to read the block sizes</t>
  </si>
  <si>
    <t>Term</t>
  </si>
  <si>
    <t>Meaning</t>
  </si>
  <si>
    <t>Concrete example</t>
  </si>
  <si>
    <t>A positive protrusion entering or pressing into the part/die.</t>
  </si>
  <si>
    <t>Example: core forming the inside of a hemispherical shell.</t>
  </si>
  <si>
    <t>A recess receiving material or surrounding a part.</t>
  </si>
  <si>
    <t>A complete sphere normally uses TWO FEMALE hemispherical cavities, not one male and one female.</t>
  </si>
  <si>
    <t>DIE</t>
  </si>
  <si>
    <t>General name for forming/cutting tooling; it does not automatically mean female.</t>
  </si>
  <si>
    <t>The role column explicitly says FEMALE DIE, MALE or other.</t>
  </si>
  <si>
    <t>CORE + CAVITY</t>
  </si>
  <si>
    <t>Matched male/female surfaces leave a gap that becomes the wall.</t>
  </si>
  <si>
    <t>For an open hemisphere Ø100 × wall 3, the nominal core diameter is Ø94.</t>
  </si>
  <si>
    <t>SPLIT CAVITY</t>
  </si>
  <si>
    <t>Two female halves together surround a solid or hollow part.</t>
  </si>
  <si>
    <t>Wax sphere, blow-molded sphere and rotationally molded sphere use this arrangement.</t>
  </si>
  <si>
    <t>PATTERN</t>
  </si>
  <si>
    <t>Positive replica used to create an expendable mold.</t>
  </si>
  <si>
    <t>Sand-casting pattern blocks are male; the resulting sand cavities are female.</t>
  </si>
  <si>
    <t>WORKING BLOCK vs COMPLETE TOOL</t>
  </si>
  <si>
    <t>The cavity/core blocks are only part of many complete tools.</t>
  </si>
  <si>
    <t>Guide systems, holder plates, ejectors, heaters, controls and machine interfaces are not silently included in these sizes.</t>
  </si>
  <si>
    <t>Sizing step</t>
  </si>
  <si>
    <t>Rule</t>
  </si>
  <si>
    <t>Interpretation</t>
  </si>
  <si>
    <t>1. Reference shape</t>
  </si>
  <si>
    <t>Use final part dimensions and the selected opening direction</t>
  </si>
  <si>
    <t>A sphere split at the equator needs a pocket depth of approximately half its diameter in each half.</t>
  </si>
  <si>
    <t>2. Tool enlargement</t>
  </si>
  <si>
    <t>Effective envelope = nominal envelope × (1 + enlargement)</t>
  </si>
  <si>
    <t>Values are assumed size increases, not measured shrinkage percentages. E.g. 2% enlargement means 100 becomes 102.</t>
  </si>
  <si>
    <t>3. Side reserve</t>
  </si>
  <si>
    <t>Finished body width = effective envelope width + 2 × side reserve</t>
  </si>
  <si>
    <t>Reserve must accommodate local support, cooling/heaters and features after actual layout. It is not a validated wall thickness.</t>
  </si>
  <si>
    <t>4. Backing / mounting</t>
  </si>
  <si>
    <t>Finished body depth = effective working depth + backing/mounting reserve</t>
  </si>
  <si>
    <t>For male tools this may include a base or spindle attachment; for female tools, material behind the cavity.</t>
  </si>
  <si>
    <t>5. Stock allowance</t>
  </si>
  <si>
    <t>Raw size before rounding = finished body size + 2 × face allowance</t>
  </si>
  <si>
    <t>Shown as 3 mm per face for most examples, 1 mm for selected small pins.</t>
  </si>
  <si>
    <t>6. Purchasing increment</t>
  </si>
  <si>
    <t>Raw stock = ROUNDUP(raw size / increment, 0) × increment</t>
  </si>
  <si>
    <t>5 mm increments are assumed for most stock; 1 mm for small pins. Availability has not been checked.</t>
  </si>
  <si>
    <t>7. Quantity effect</t>
  </si>
  <si>
    <t>Same reference geometry and cavity count in all quantity bands</t>
  </si>
  <si>
    <t>Grade, wear inserts and automation may change. Do not increase the block automatically because more parts are ordered.</t>
  </si>
  <si>
    <t>Ø100 mm wax-sphere example</t>
  </si>
  <si>
    <t>Value</t>
  </si>
  <si>
    <t>Unit</t>
  </si>
  <si>
    <t>What this means</t>
  </si>
  <si>
    <t>Final sphere diameter</t>
  </si>
  <si>
    <t>mm</t>
  </si>
  <si>
    <t>Finished casting reference</t>
  </si>
  <si>
    <t>ratio</t>
  </si>
  <si>
    <t>Combined dimensional allowance to qualify</t>
  </si>
  <si>
    <t>Wax cavity diameter</t>
  </si>
  <si>
    <t>Calculated</t>
  </si>
  <si>
    <t>Cavity depth in each half</t>
  </si>
  <si>
    <t>Calculated equatorial split</t>
  </si>
  <si>
    <t>Side reserve each side</t>
  </si>
  <si>
    <t>Assumed, not a strength result</t>
  </si>
  <si>
    <t>Backing behind pocket</t>
  </si>
  <si>
    <t>Stock allowance per face</t>
  </si>
  <si>
    <t>Assumed</t>
  </si>
  <si>
    <t>Raw stock length / width</t>
  </si>
  <si>
    <t>Rounded upward to 5 mm</t>
  </si>
  <si>
    <t>Raw stock thickness</t>
  </si>
  <si>
    <t>Required blocks</t>
  </si>
  <si>
    <t>count</t>
  </si>
  <si>
    <t>Both FEMALE</t>
  </si>
  <si>
    <t>Before releasing a purchase order</t>
  </si>
  <si>
    <t>Required decision</t>
  </si>
  <si>
    <t>Why it can change the stock size</t>
  </si>
  <si>
    <t>Pressure/load and support</t>
  </si>
  <si>
    <t>Check actual process load, tool material at temperature, fatigue and support spans</t>
  </si>
  <si>
    <t>No universal mechanically safe minimum follows from part diameter alone.</t>
  </si>
  <si>
    <t>Cooling and hardware layout</t>
  </si>
  <si>
    <t>Place channels, heaters, ejectors, bolts, gates and local inserts</t>
  </si>
  <si>
    <t>Cross-holes can remove critical material even when the overall block appears thick.</t>
  </si>
  <si>
    <t>Tool construction</t>
  </si>
  <si>
    <t>Confirm monolithic steel, aluminum, carbide-in-steel or fabricated/cast shell route</t>
  </si>
  <si>
    <t>Different routes need different purchased stock and local interference/fastening calculations.</t>
  </si>
  <si>
    <t>Machine interface</t>
  </si>
  <si>
    <t>Confirm holder dimensions, shut height, opening stroke and mounting</t>
  </si>
  <si>
    <t>A reference working block may not fit the selected machine.</t>
  </si>
  <si>
    <t>Part manufacturability</t>
  </si>
  <si>
    <t>Confirm draft, parting line, radii, filling/forming, ejection and dimensional compensation</t>
  </si>
  <si>
    <t>The simple shapes are estimating references; finished production drawings are not supplied.</t>
  </si>
  <si>
    <t>List complete mold base, press fixtures, consumables and services separately</t>
  </si>
  <si>
    <t>The reference summary identifies exclusions; this is not a turnkey tool quotation.</t>
  </si>
  <si>
    <t>Source / provenance</t>
  </si>
  <si>
    <t>URL</t>
  </si>
  <si>
    <t>Engineering assumptions in this workbook</t>
  </si>
  <si>
    <t>All numerical side/backing/stock allowances and reference tool packages</t>
  </si>
  <si>
    <t>Illustrative planning values authored for these examples; not manufacturer-rated minimums.</t>
  </si>
  <si>
    <t>DME</t>
  </si>
  <si>
    <t>Mold support, deflection and need for design-specific analysis</t>
  </si>
  <si>
    <t>https://www.dme.net/support-pillars-faq/</t>
  </si>
  <si>
    <t>Association of Rotational Molders</t>
  </si>
  <si>
    <t>Machined, cast and fabricated mold routes</t>
  </si>
  <si>
    <t>https://www.rotomolding.org/tooling/</t>
  </si>
  <si>
    <t>Protolabs</t>
  </si>
  <si>
    <t>Thin, relatively uniform molded sections rather than thick solid masses</t>
  </si>
  <si>
    <t>https://www.protolabs.com/resources/design-tips/improving-part-design-with-uniform-wall-thickness/</t>
  </si>
  <si>
    <t>Length</t>
  </si>
  <si>
    <t>Width</t>
  </si>
  <si>
    <t>Height</t>
  </si>
  <si>
    <t>Thickness</t>
  </si>
  <si>
    <t>n.a</t>
  </si>
  <si>
    <t>Tooling Raw Material Grade</t>
  </si>
  <si>
    <t>Tooling Stock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</si>
</sst>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########"/>
  </numFmts>
  <fonts count="7">
    <font>
      <sz val="11"/>
      <name val="Carlito"/>
    </font>
    <font>
      <sz val="11"/>
      <color rgb="FF243746"/>
      <name val="Arial"/>
    </font>
    <font>
      <b/>
      <sz val="16"/>
      <color rgb="FF234D68"/>
      <name val="Arial"/>
    </font>
    <font>
      <b/>
      <sz val="11"/>
      <color rgb="FFFFFFFF"/>
      <name val="Arial"/>
    </font>
    <font>
      <b/>
      <sz val="11"/>
      <color rgb="FF243746"/>
      <name val="Arial"/>
    </font>
    <font>
      <b/>
      <sz val="11"/>
      <color rgb="FF174B38"/>
      <name val="Arial"/>
    </font>
    <font>
      <b/>
      <sz val="12"/>
      <color rgb="FF174B38"/>
      <name val="Arial"/>
    </font>
  </fonts>
  <fills count="10">
    <fill>
      <patternFill patternType="none"/>
    </fill>
    <fill>
      <patternFill patternType="gray125"/>
    </fill>
    <fill>
      <patternFill patternType="solid">
        <fgColor rgb="FF234D68"/>
      </patternFill>
    </fill>
    <fill>
      <patternFill patternType="solid">
        <fgColor rgb="FFFFF2CC"/>
      </patternFill>
    </fill>
    <fill>
      <patternFill patternType="solid">
        <fgColor rgb="FFDBEAFE"/>
      </patternFill>
    </fill>
    <fill>
      <patternFill patternType="solid">
        <fgColor rgb="FFEDE3F7"/>
      </patternFill>
    </fill>
    <fill>
      <patternFill patternType="solid">
        <fgColor rgb="FFF2F2F2"/>
      </patternFill>
    </fill>
    <fill>
      <patternFill patternType="solid">
        <fgColor rgb="FFECEFF1"/>
      </patternFill>
    </fill>
    <fill>
      <patternFill patternType="solid">
        <fgColor rgb="FF234D68"/>
      </patternFill>
    </fill>
    <fill>
      <patternFill patternType="solid">
        <fgColor rgb="FFE1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2" fontId="1" fillId="3" borderId="0" xfId="0" applyNumberFormat="1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2" fontId="1" fillId="6" borderId="0" xfId="0" applyNumberFormat="1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1" fontId="6" fillId="9" borderId="0" xfId="0" applyNumberFormat="1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5">
    <dxf>
      <numFmt numFmtId="166" formatCode="0.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xplicitPartAndBlockSizes" displayName="ExplicitPartAndBlockSizes" ref="A4:V63" totalsRowShown="0">
  <tableColumns count="22">
    <tableColumn id="1" xr3:uid="{00000000-0010-0000-0000-000001000000}" name="Process"/>
    <tableColumn id="2" xr3:uid="{00000000-0010-0000-0000-000002000000}" name="GENERIC PART — dimensions in mm"/>
    <tableColumn id="22" xr3:uid="{28199DA2-2748-49A5-A839-26D29EFDC7DA}" name="Length" dataDxfId="4"/>
    <tableColumn id="21" xr3:uid="{26ACBDD8-EB2B-401B-A8FC-DA38FEF7609F}" name="Width" dataDxfId="3"/>
    <tableColumn id="20" xr3:uid="{02BD53E1-EEFF-4970-B633-A85132D69104}" name="Height" dataDxfId="2"/>
    <tableColumn id="23" xr3:uid="{A8DE1288-0781-4924-AAB4-CDA486D44347}" name="Thickness" dataDxfId="1"/>
    <tableColumn id="3" xr3:uid="{00000000-0010-0000-0000-000003000000}" name="Tool component and MALE / FEMALE role"/>
    <tableColumn id="4" xr3:uid="{00000000-0010-0000-0000-000004000000}" name="NUMBER OF BLOCKS of this size"/>
    <tableColumn id="5" xr3:uid="{00000000-0010-0000-0000-000005000000}" name="RAW STOCK TO ORDER — per block (mm)"/>
    <tableColumn id="6" xr3:uid="{00000000-0010-0000-0000-000006000000}" name="RAW BLOCK length (mm)"/>
    <tableColumn id="7" xr3:uid="{00000000-0010-0000-0000-000007000000}" name="RAW BLOCK width (mm)"/>
    <tableColumn id="8" xr3:uid="{00000000-0010-0000-0000-000008000000}" name="RAW BLOCK thickness (mm)"/>
    <tableColumn id="9" xr3:uid="{00000000-0010-0000-0000-000009000000}" name="ROUND BILLET diameter (mm)"/>
    <tableColumn id="10" xr3:uid="{00000000-0010-0000-0000-00000A000000}" name="PART envelope length (mm)"/>
    <tableColumn id="11" xr3:uid="{00000000-0010-0000-0000-00000B000000}" name="PART envelope width (mm)"/>
    <tableColumn id="12" xr3:uid="{00000000-0010-0000-0000-00000C000000}" name="PART envelope height (mm)"/>
    <tableColumn id="13" xr3:uid="{00000000-0010-0000-0000-00000D000000}" name="PART outer diameter (mm)"/>
    <tableColumn id="14" xr3:uid="{00000000-0010-0000-0000-00000E000000}" name="PART wall / sheet thickness (mm)"/>
    <tableColumn id="15" xr3:uid="{00000000-0010-0000-0000-00000F000000}" name="TOTAL MACHINED BLOCKS per reference tool set" dataDxfId="0"/>
    <tableColumn id="17" xr3:uid="{00000000-0010-0000-0000-000011000000}" name="Tooling Stock form"/>
    <tableColumn id="18" xr3:uid="{00000000-0010-0000-0000-000012000000}" name="Tooling Raw Material Grade"/>
    <tableColumn id="19" xr3:uid="{00000000-0010-0000-0000-000013000000}" name="Sizing basis /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creteBlocks" displayName="ConcreteBlocks" ref="A4:AB358" totalsRowShown="0">
  <tableColumns count="28">
    <tableColumn id="1" xr3:uid="{00000000-0010-0000-0100-000001000000}" name="Process"/>
    <tableColumn id="2" xr3:uid="{00000000-0010-0000-0100-000002000000}" name="Lifetime quantity"/>
    <tableColumn id="3" xr3:uid="{00000000-0010-0000-0100-000003000000}" name="Component to manufacture"/>
    <tableColumn id="4" xr3:uid="{00000000-0010-0000-0100-000004000000}" name="MALE / FEMALE / other"/>
    <tableColumn id="5" xr3:uid="{00000000-0010-0000-0100-000005000000}" name="Pieces per tool set"/>
    <tableColumn id="6" xr3:uid="{00000000-0010-0000-0100-000006000000}" name="RAW STOCK TO BUY — mm"/>
    <tableColumn id="7" xr3:uid="{00000000-0010-0000-0100-000007000000}" name="Reference part"/>
    <tableColumn id="8" xr3:uid="{00000000-0010-0000-0100-000008000000}" name="Finished-part dimensions"/>
    <tableColumn id="9" xr3:uid="{00000000-0010-0000-0100-000009000000}" name="Material for this block"/>
    <tableColumn id="10" xr3:uid="{00000000-0010-0000-0100-00000A000000}" name="Heating / cooling"/>
    <tableColumn id="11" xr3:uid="{00000000-0010-0000-0100-00000B000000}" name="Stock form"/>
    <tableColumn id="12" xr3:uid="{00000000-0010-0000-0100-00000C000000}" name="Nominal working envelope L / OD (mm)"/>
    <tableColumn id="13" xr3:uid="{00000000-0010-0000-0100-00000D000000}" name="Nominal working envelope W (mm)"/>
    <tableColumn id="14" xr3:uid="{00000000-0010-0000-0100-00000E000000}" name="Nominal working depth / length (mm)"/>
    <tableColumn id="15" xr3:uid="{00000000-0010-0000-0100-00000F000000}" name="Assumed linear tool enlargement"/>
    <tableColumn id="16" xr3:uid="{00000000-0010-0000-0100-000010000000}" name="Side / radial reserve X (mm)"/>
    <tableColumn id="17" xr3:uid="{00000000-0010-0000-0100-000011000000}" name="Side reserve Y (mm)"/>
    <tableColumn id="18" xr3:uid="{00000000-0010-0000-0100-000012000000}" name="Backing / mounting reserve (mm)"/>
    <tableColumn id="19" xr3:uid="{00000000-0010-0000-0100-000013000000}" name="Machining allowance per face (mm)"/>
    <tableColumn id="20" xr3:uid="{00000000-0010-0000-0100-000014000000}" name="Stock rounding increment (mm)"/>
    <tableColumn id="21" xr3:uid="{00000000-0010-0000-0100-000015000000}" name="Finished body L / OD (mm)"/>
    <tableColumn id="22" xr3:uid="{00000000-0010-0000-0100-000016000000}" name="Finished body W (mm)"/>
    <tableColumn id="23" xr3:uid="{00000000-0010-0000-0100-000017000000}" name="Finished body depth / length (mm)"/>
    <tableColumn id="24" xr3:uid="{00000000-0010-0000-0100-000018000000}" name="Raw stock L / OD (mm)"/>
    <tableColumn id="25" xr3:uid="{00000000-0010-0000-0100-000019000000}" name="Raw stock W (mm)"/>
    <tableColumn id="26" xr3:uid="{00000000-0010-0000-0100-00001A000000}" name="Raw stock depth / length (mm)"/>
    <tableColumn id="27" xr3:uid="{00000000-0010-0000-0100-00001B000000}" name="Unique record ID"/>
    <tableColumn id="28" xr3:uid="{00000000-0010-0000-0100-00001C000000}" name="What the sizing assum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QuantityGrades" displayName="QuantityGrades" ref="A4:K130" totalsRowShown="0">
  <tableColumns count="11">
    <tableColumn id="1" xr3:uid="{00000000-0010-0000-0200-000001000000}" name="Process"/>
    <tableColumn id="2" xr3:uid="{00000000-0010-0000-0200-000002000000}" name="Process family"/>
    <tableColumn id="3" xr3:uid="{00000000-0010-0000-0200-000003000000}" name="Quantity band"/>
    <tableColumn id="4" xr3:uid="{00000000-0010-0000-0200-000004000000}" name="Qty min"/>
    <tableColumn id="5" xr3:uid="{00000000-0010-0000-0200-000005000000}" name="Qty max"/>
    <tableColumn id="6" xr3:uid="{00000000-0010-0000-0200-000006000000}" name="Tooling concept"/>
    <tableColumn id="7" xr3:uid="{00000000-0010-0000-0200-000007000000}" name="Working-grade candidates"/>
    <tableColumn id="8" xr3:uid="{00000000-0010-0000-0200-000008000000}" name="Treatment"/>
    <tableColumn id="9" xr3:uid="{00000000-0010-0000-0200-000009000000}" name="Scope"/>
    <tableColumn id="10" xr3:uid="{00000000-0010-0000-0200-00000A000000}" name="Selection conditions"/>
    <tableColumn id="11" xr3:uid="{00000000-0010-0000-0200-00000B000000}" name="Technical background / proven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D68"/>
  </sheetPr>
  <dimension ref="A1:V67"/>
  <sheetViews>
    <sheetView showGridLines="0" tabSelected="1" zoomScale="90" zoomScaleNormal="90" workbookViewId="0">
      <pane xSplit="1" ySplit="4" topLeftCell="B31" activePane="bottomRight" state="frozen"/>
      <selection pane="topRight" activeCell="S1" sqref="S1"/>
      <selection pane="bottomLeft" activeCell="A7" sqref="A7"/>
      <selection pane="bottomRight" activeCell="S50" sqref="S50:S56"/>
    </sheetView>
  </sheetViews>
  <sheetFormatPr baseColWidth="10" defaultColWidth="8.6640625" defaultRowHeight="14"/>
  <cols>
    <col min="1" max="1" width="27" customWidth="1"/>
    <col min="2" max="2" width="46.9140625" customWidth="1"/>
    <col min="3" max="3" width="6.9140625" bestFit="1" customWidth="1"/>
    <col min="4" max="4" width="5.9140625" bestFit="1" customWidth="1"/>
    <col min="5" max="5" width="6.5" bestFit="1" customWidth="1"/>
    <col min="6" max="6" width="9.83203125" bestFit="1" customWidth="1"/>
    <col min="7" max="7" width="43.08203125" customWidth="1"/>
    <col min="8" max="8" width="18" customWidth="1"/>
    <col min="9" max="9" width="30" customWidth="1"/>
    <col min="10" max="11" width="16.9140625" customWidth="1"/>
    <col min="12" max="12" width="18" customWidth="1"/>
    <col min="13" max="17" width="19" customWidth="1"/>
    <col min="18" max="18" width="21" customWidth="1"/>
    <col min="19" max="19" width="23.9140625" customWidth="1"/>
    <col min="20" max="20" width="25" customWidth="1"/>
    <col min="21" max="21" width="32" customWidth="1"/>
    <col min="22" max="22" width="69.9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8" customHeight="1">
      <c r="A4" s="18" t="s">
        <v>1</v>
      </c>
      <c r="B4" s="18" t="s">
        <v>2</v>
      </c>
      <c r="C4" s="18" t="s">
        <v>1217</v>
      </c>
      <c r="D4" s="18" t="s">
        <v>1218</v>
      </c>
      <c r="E4" s="18" t="s">
        <v>1219</v>
      </c>
      <c r="F4" s="18" t="s">
        <v>1220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8" t="s">
        <v>8</v>
      </c>
      <c r="M4" s="18" t="s">
        <v>9</v>
      </c>
      <c r="N4" s="18" t="s">
        <v>10</v>
      </c>
      <c r="O4" s="18" t="s">
        <v>11</v>
      </c>
      <c r="P4" s="18" t="s">
        <v>12</v>
      </c>
      <c r="Q4" s="18" t="s">
        <v>13</v>
      </c>
      <c r="R4" s="18" t="s">
        <v>14</v>
      </c>
      <c r="S4" s="18" t="s">
        <v>15</v>
      </c>
      <c r="T4" s="18" t="s">
        <v>1223</v>
      </c>
      <c r="U4" s="18" t="s">
        <v>1222</v>
      </c>
      <c r="V4" s="18" t="s">
        <v>17</v>
      </c>
    </row>
    <row r="5" spans="1:22" ht="52" customHeight="1">
      <c r="A5" s="17" t="s">
        <v>18</v>
      </c>
      <c r="B5" s="17" t="s">
        <v>19</v>
      </c>
      <c r="C5" s="22">
        <v>100</v>
      </c>
      <c r="D5" s="22">
        <v>50</v>
      </c>
      <c r="E5" s="22">
        <v>50</v>
      </c>
      <c r="F5" s="22">
        <v>2</v>
      </c>
      <c r="G5" s="17" t="s">
        <v>20</v>
      </c>
      <c r="H5" s="20">
        <f>'Tool blocks'!E5</f>
        <v>1</v>
      </c>
      <c r="I5" s="19" t="str">
        <f>IF(H5=0,"Purchased assembly",IF(T5="Round billet","Ø"&amp;M5&amp;" × "&amp;J5,J5&amp;" × "&amp;K5&amp;" × "&amp;L5))</f>
        <v>120 × 40 × 90</v>
      </c>
      <c r="J5" s="21">
        <f>'Tool blocks'!X5</f>
        <v>120</v>
      </c>
      <c r="K5" s="21">
        <f>'Tool blocks'!Y5</f>
        <v>40</v>
      </c>
      <c r="L5" s="21">
        <f>'Tool blocks'!Z5</f>
        <v>90</v>
      </c>
      <c r="M5" s="21" t="str">
        <f>"n.a."</f>
        <v>n.a.</v>
      </c>
      <c r="N5" s="21">
        <v>100</v>
      </c>
      <c r="O5" s="21">
        <v>50</v>
      </c>
      <c r="P5" s="21">
        <v>50</v>
      </c>
      <c r="Q5" s="21" t="s">
        <v>21</v>
      </c>
      <c r="R5" s="21">
        <v>2</v>
      </c>
      <c r="S5" s="23">
        <v>0.5</v>
      </c>
      <c r="T5" s="17" t="s">
        <v>22</v>
      </c>
      <c r="U5" s="17" t="s">
        <v>23</v>
      </c>
      <c r="V5" s="17" t="s">
        <v>24</v>
      </c>
    </row>
    <row r="6" spans="1:22" ht="52" customHeight="1">
      <c r="A6" s="17" t="s">
        <v>18</v>
      </c>
      <c r="B6" s="17" t="s">
        <v>19</v>
      </c>
      <c r="C6" s="22">
        <v>100</v>
      </c>
      <c r="D6" s="22">
        <v>50</v>
      </c>
      <c r="E6" s="22">
        <v>50</v>
      </c>
      <c r="F6" s="22">
        <v>2</v>
      </c>
      <c r="G6" s="17" t="s">
        <v>25</v>
      </c>
      <c r="H6" s="20">
        <f>'Tool blocks'!E6</f>
        <v>1</v>
      </c>
      <c r="I6" s="19" t="str">
        <f>IF(H6=0,"Purchased assembly",IF(T6="Round billet","Ø"&amp;M6&amp;" × "&amp;J6,J6&amp;" × "&amp;K6&amp;" × "&amp;L6))</f>
        <v>120 × 50 × 45</v>
      </c>
      <c r="J6" s="21">
        <f>'Tool blocks'!X6</f>
        <v>120</v>
      </c>
      <c r="K6" s="21">
        <f>'Tool blocks'!Y6</f>
        <v>50</v>
      </c>
      <c r="L6" s="21">
        <f>'Tool blocks'!Z6</f>
        <v>45</v>
      </c>
      <c r="M6" s="21" t="str">
        <f>"n.a."</f>
        <v>n.a.</v>
      </c>
      <c r="N6" s="21">
        <v>100</v>
      </c>
      <c r="O6" s="21">
        <v>50</v>
      </c>
      <c r="P6" s="21">
        <v>50</v>
      </c>
      <c r="Q6" s="21" t="s">
        <v>21</v>
      </c>
      <c r="R6" s="21">
        <v>2</v>
      </c>
      <c r="S6" s="23">
        <v>0.5</v>
      </c>
      <c r="T6" s="17" t="s">
        <v>22</v>
      </c>
      <c r="U6" s="17" t="s">
        <v>23</v>
      </c>
      <c r="V6" s="17" t="s">
        <v>24</v>
      </c>
    </row>
    <row r="7" spans="1:22" ht="52" customHeight="1">
      <c r="A7" s="17" t="s">
        <v>26</v>
      </c>
      <c r="B7" s="17" t="s">
        <v>27</v>
      </c>
      <c r="C7" s="22">
        <v>1000</v>
      </c>
      <c r="D7" s="22">
        <v>40</v>
      </c>
      <c r="E7" s="22">
        <v>40</v>
      </c>
      <c r="F7" s="22">
        <v>3</v>
      </c>
      <c r="G7" s="17" t="s">
        <v>28</v>
      </c>
      <c r="H7" s="20">
        <f>'Tool blocks'!E17</f>
        <v>1</v>
      </c>
      <c r="I7" s="19" t="str">
        <f>IF(H7=0,"Purchased assembly",IF(T7="Round billet","Ø"&amp;M7&amp;" × "&amp;J7,J7&amp;" × "&amp;K7&amp;" × "&amp;L7))</f>
        <v>Ø190 × 70</v>
      </c>
      <c r="J7" s="21">
        <f>'Tool blocks'!Z17</f>
        <v>70</v>
      </c>
      <c r="K7" s="21" t="str">
        <f t="shared" ref="K7:L9" si="0">"n.a."</f>
        <v>n.a.</v>
      </c>
      <c r="L7" s="21" t="str">
        <f t="shared" si="0"/>
        <v>n.a.</v>
      </c>
      <c r="M7" s="21">
        <f>'Tool blocks'!X17</f>
        <v>190</v>
      </c>
      <c r="N7" s="21">
        <v>1000</v>
      </c>
      <c r="O7" s="21">
        <v>40</v>
      </c>
      <c r="P7" s="21">
        <v>40</v>
      </c>
      <c r="Q7" s="21" t="s">
        <v>21</v>
      </c>
      <c r="R7" s="21">
        <v>3</v>
      </c>
      <c r="S7" s="23">
        <v>0.33333333333333298</v>
      </c>
      <c r="T7" s="17" t="s">
        <v>29</v>
      </c>
      <c r="U7" s="17" t="s">
        <v>30</v>
      </c>
      <c r="V7" s="17" t="s">
        <v>31</v>
      </c>
    </row>
    <row r="8" spans="1:22" ht="52" customHeight="1">
      <c r="A8" s="17" t="s">
        <v>26</v>
      </c>
      <c r="B8" s="17" t="s">
        <v>27</v>
      </c>
      <c r="C8" s="22">
        <v>1000</v>
      </c>
      <c r="D8" s="22">
        <v>40</v>
      </c>
      <c r="E8" s="22">
        <v>40</v>
      </c>
      <c r="F8" s="22">
        <v>3</v>
      </c>
      <c r="G8" s="17" t="s">
        <v>32</v>
      </c>
      <c r="H8" s="20">
        <f>'Tool blocks'!E18</f>
        <v>1</v>
      </c>
      <c r="I8" s="19" t="str">
        <f>IF(H8=0,"Purchased assembly",IF(T8="Round billet","Ø"&amp;M8&amp;" × "&amp;J8,J8&amp;" × "&amp;K8&amp;" × "&amp;L8))</f>
        <v>Ø190 × 70</v>
      </c>
      <c r="J8" s="21">
        <f>'Tool blocks'!Z18</f>
        <v>70</v>
      </c>
      <c r="K8" s="21" t="str">
        <f t="shared" si="0"/>
        <v>n.a.</v>
      </c>
      <c r="L8" s="21" t="str">
        <f t="shared" si="0"/>
        <v>n.a.</v>
      </c>
      <c r="M8" s="21">
        <f>'Tool blocks'!X18</f>
        <v>190</v>
      </c>
      <c r="N8" s="21">
        <v>1000</v>
      </c>
      <c r="O8" s="21">
        <v>40</v>
      </c>
      <c r="P8" s="21">
        <v>40</v>
      </c>
      <c r="Q8" s="21" t="s">
        <v>21</v>
      </c>
      <c r="R8" s="21">
        <v>3</v>
      </c>
      <c r="S8" s="23">
        <v>0.33333333333333298</v>
      </c>
      <c r="T8" s="17" t="s">
        <v>29</v>
      </c>
      <c r="U8" s="17" t="s">
        <v>30</v>
      </c>
      <c r="V8" s="17" t="s">
        <v>31</v>
      </c>
    </row>
    <row r="9" spans="1:22" ht="52" customHeight="1">
      <c r="A9" s="17" t="s">
        <v>26</v>
      </c>
      <c r="B9" s="17" t="s">
        <v>27</v>
      </c>
      <c r="C9" s="22">
        <v>1000</v>
      </c>
      <c r="D9" s="22">
        <v>40</v>
      </c>
      <c r="E9" s="22">
        <v>40</v>
      </c>
      <c r="F9" s="22">
        <v>3</v>
      </c>
      <c r="G9" s="17" t="s">
        <v>33</v>
      </c>
      <c r="H9" s="20">
        <f>'Tool blocks'!E19</f>
        <v>1</v>
      </c>
      <c r="I9" s="19" t="str">
        <f>IF(H9=0,"Purchased assembly",IF(T9="Round billet","Ø"&amp;M9&amp;" × "&amp;J9,J9&amp;" × "&amp;K9&amp;" × "&amp;L9))</f>
        <v>Ø190 × 50</v>
      </c>
      <c r="J9" s="21">
        <f>'Tool blocks'!Z19</f>
        <v>50</v>
      </c>
      <c r="K9" s="21" t="str">
        <f t="shared" si="0"/>
        <v>n.a.</v>
      </c>
      <c r="L9" s="21" t="str">
        <f t="shared" si="0"/>
        <v>n.a.</v>
      </c>
      <c r="M9" s="21">
        <f>'Tool blocks'!X19</f>
        <v>190</v>
      </c>
      <c r="N9" s="21">
        <v>1000</v>
      </c>
      <c r="O9" s="21">
        <v>40</v>
      </c>
      <c r="P9" s="21">
        <v>40</v>
      </c>
      <c r="Q9" s="21" t="s">
        <v>21</v>
      </c>
      <c r="R9" s="21">
        <v>3</v>
      </c>
      <c r="S9" s="23">
        <v>0.33333333333333298</v>
      </c>
      <c r="T9" s="17" t="s">
        <v>29</v>
      </c>
      <c r="U9" s="17" t="s">
        <v>30</v>
      </c>
      <c r="V9" s="17" t="s">
        <v>31</v>
      </c>
    </row>
    <row r="10" spans="1:22" ht="52" customHeight="1">
      <c r="A10" s="17" t="s">
        <v>34</v>
      </c>
      <c r="B10" s="17" t="s">
        <v>35</v>
      </c>
      <c r="C10" s="22">
        <v>100</v>
      </c>
      <c r="D10" s="22">
        <v>100</v>
      </c>
      <c r="E10" s="22">
        <v>50</v>
      </c>
      <c r="F10" s="22">
        <v>3</v>
      </c>
      <c r="G10" s="17" t="s">
        <v>36</v>
      </c>
      <c r="H10" s="20">
        <f>'Tool blocks'!E35</f>
        <v>1</v>
      </c>
      <c r="I10" s="19" t="str">
        <f>IF(H10=0,"Purchased assembly",IF(T10="Round billet","Ø"&amp;M10&amp;" × "&amp;J10,J10&amp;" × "&amp;K10&amp;" × "&amp;L10))</f>
        <v>190 × 190 × 100</v>
      </c>
      <c r="J10" s="21">
        <f>'Tool blocks'!X35</f>
        <v>190</v>
      </c>
      <c r="K10" s="21">
        <f>'Tool blocks'!Y35</f>
        <v>190</v>
      </c>
      <c r="L10" s="21">
        <f>'Tool blocks'!Z35</f>
        <v>100</v>
      </c>
      <c r="M10" s="21" t="str">
        <f t="shared" ref="M10:M15" si="1">"n.a."</f>
        <v>n.a.</v>
      </c>
      <c r="N10" s="21">
        <v>100</v>
      </c>
      <c r="O10" s="21">
        <v>100</v>
      </c>
      <c r="P10" s="21">
        <v>50</v>
      </c>
      <c r="Q10" s="21">
        <v>100</v>
      </c>
      <c r="R10" s="21">
        <v>3</v>
      </c>
      <c r="S10" s="23">
        <v>0.5</v>
      </c>
      <c r="T10" s="17" t="s">
        <v>22</v>
      </c>
      <c r="U10" s="17" t="s">
        <v>37</v>
      </c>
      <c r="V10" s="17" t="s">
        <v>38</v>
      </c>
    </row>
    <row r="11" spans="1:22" ht="52" customHeight="1">
      <c r="A11" s="17" t="s">
        <v>34</v>
      </c>
      <c r="B11" s="17" t="s">
        <v>35</v>
      </c>
      <c r="C11" s="22">
        <v>100</v>
      </c>
      <c r="D11" s="22">
        <v>100</v>
      </c>
      <c r="E11" s="22">
        <v>50</v>
      </c>
      <c r="F11" s="22">
        <v>3</v>
      </c>
      <c r="G11" s="17" t="s">
        <v>39</v>
      </c>
      <c r="H11" s="20">
        <f>'Tool blocks'!E36</f>
        <v>1</v>
      </c>
      <c r="I11" s="19" t="str">
        <f>IF(H11=0,"Purchased assembly",IF(T11="Round billet","Ø"&amp;M11&amp;" × "&amp;J11,J11&amp;" × "&amp;K11&amp;" × "&amp;L11))</f>
        <v>175 × 175 × 90</v>
      </c>
      <c r="J11" s="21">
        <f>'Tool blocks'!X36</f>
        <v>175</v>
      </c>
      <c r="K11" s="21">
        <f>'Tool blocks'!Y36</f>
        <v>175</v>
      </c>
      <c r="L11" s="21">
        <f>'Tool blocks'!Z36</f>
        <v>90</v>
      </c>
      <c r="M11" s="21" t="str">
        <f t="shared" si="1"/>
        <v>n.a.</v>
      </c>
      <c r="N11" s="21">
        <v>100</v>
      </c>
      <c r="O11" s="21">
        <v>100</v>
      </c>
      <c r="P11" s="21">
        <v>50</v>
      </c>
      <c r="Q11" s="21">
        <v>100</v>
      </c>
      <c r="R11" s="21">
        <v>3</v>
      </c>
      <c r="S11" s="23">
        <v>0.5</v>
      </c>
      <c r="T11" s="17" t="s">
        <v>22</v>
      </c>
      <c r="U11" s="17" t="s">
        <v>37</v>
      </c>
      <c r="V11" s="17" t="s">
        <v>38</v>
      </c>
    </row>
    <row r="12" spans="1:22" ht="52" customHeight="1">
      <c r="A12" s="17" t="s">
        <v>40</v>
      </c>
      <c r="B12" s="17" t="s">
        <v>41</v>
      </c>
      <c r="C12" s="22">
        <v>100</v>
      </c>
      <c r="D12" s="22">
        <v>100</v>
      </c>
      <c r="E12" s="22">
        <v>100</v>
      </c>
      <c r="F12" s="22" t="s">
        <v>1221</v>
      </c>
      <c r="G12" s="17" t="s">
        <v>42</v>
      </c>
      <c r="H12" s="20">
        <f>'Tool blocks'!E47</f>
        <v>2</v>
      </c>
      <c r="I12" s="19" t="str">
        <f>IF(H12=0,"Purchased assembly",IF(T12="Round billet","Ø"&amp;M12&amp;" × "&amp;J12,J12&amp;" × "&amp;K12&amp;" × "&amp;L12))</f>
        <v>110 × 110 × 70</v>
      </c>
      <c r="J12" s="21">
        <f>'Tool blocks'!X47</f>
        <v>110</v>
      </c>
      <c r="K12" s="21">
        <f>'Tool blocks'!Y47</f>
        <v>110</v>
      </c>
      <c r="L12" s="21">
        <f>'Tool blocks'!Z47</f>
        <v>70</v>
      </c>
      <c r="M12" s="21" t="str">
        <f t="shared" si="1"/>
        <v>n.a.</v>
      </c>
      <c r="N12" s="21">
        <v>100</v>
      </c>
      <c r="O12" s="21">
        <v>100</v>
      </c>
      <c r="P12" s="21">
        <v>100</v>
      </c>
      <c r="Q12" s="21">
        <v>100</v>
      </c>
      <c r="R12" s="21" t="s">
        <v>21</v>
      </c>
      <c r="S12" s="23">
        <v>0.66666666666666596</v>
      </c>
      <c r="T12" s="17" t="s">
        <v>22</v>
      </c>
      <c r="U12" s="17" t="s">
        <v>43</v>
      </c>
      <c r="V12" s="17" t="s">
        <v>44</v>
      </c>
    </row>
    <row r="13" spans="1:22" ht="52" customHeight="1">
      <c r="A13" s="17" t="s">
        <v>40</v>
      </c>
      <c r="B13" s="17" t="s">
        <v>41</v>
      </c>
      <c r="C13" s="22">
        <v>100</v>
      </c>
      <c r="D13" s="22">
        <v>100</v>
      </c>
      <c r="E13" s="22">
        <v>100</v>
      </c>
      <c r="F13" s="22" t="s">
        <v>1221</v>
      </c>
      <c r="G13" s="17" t="s">
        <v>45</v>
      </c>
      <c r="H13" s="20">
        <f>'Tool blocks'!E48</f>
        <v>1</v>
      </c>
      <c r="I13" s="19" t="str">
        <f>IF(H13=0,"Purchased assembly",IF(T13="Round billet","Ø"&amp;M13&amp;" × "&amp;J13,J13&amp;" × "&amp;K13&amp;" × "&amp;L13))</f>
        <v>180 × 180 × 30</v>
      </c>
      <c r="J13" s="21">
        <f>'Tool blocks'!X48</f>
        <v>180</v>
      </c>
      <c r="K13" s="21">
        <f>'Tool blocks'!Y48</f>
        <v>180</v>
      </c>
      <c r="L13" s="21">
        <f>'Tool blocks'!Z48</f>
        <v>30</v>
      </c>
      <c r="M13" s="21" t="str">
        <f t="shared" si="1"/>
        <v>n.a.</v>
      </c>
      <c r="N13" s="21">
        <v>100</v>
      </c>
      <c r="O13" s="21">
        <v>100</v>
      </c>
      <c r="P13" s="21">
        <v>100</v>
      </c>
      <c r="Q13" s="21">
        <v>100</v>
      </c>
      <c r="R13" s="21" t="s">
        <v>21</v>
      </c>
      <c r="S13" s="23">
        <v>0.33333333333333298</v>
      </c>
      <c r="T13" s="17" t="s">
        <v>22</v>
      </c>
      <c r="U13" s="17" t="s">
        <v>43</v>
      </c>
      <c r="V13" s="17" t="s">
        <v>44</v>
      </c>
    </row>
    <row r="14" spans="1:22" ht="52" customHeight="1">
      <c r="A14" s="17" t="s">
        <v>46</v>
      </c>
      <c r="B14" s="17" t="s">
        <v>47</v>
      </c>
      <c r="C14" s="22">
        <v>100</v>
      </c>
      <c r="D14" s="22">
        <v>100</v>
      </c>
      <c r="E14" s="22">
        <v>100</v>
      </c>
      <c r="F14" s="22" t="s">
        <v>1221</v>
      </c>
      <c r="G14" s="17" t="s">
        <v>48</v>
      </c>
      <c r="H14" s="20">
        <f>'Tool blocks'!E59</f>
        <v>2</v>
      </c>
      <c r="I14" s="19" t="str">
        <f>IF(H14=0,"Purchased assembly",IF(T14="Round billet","Ø"&amp;M14&amp;" × "&amp;J14,J14&amp;" × "&amp;K14&amp;" × "&amp;L14))</f>
        <v>170 × 170 × 90</v>
      </c>
      <c r="J14" s="21">
        <f>'Tool blocks'!X59</f>
        <v>170</v>
      </c>
      <c r="K14" s="21">
        <f>'Tool blocks'!Y59</f>
        <v>170</v>
      </c>
      <c r="L14" s="21">
        <f>'Tool blocks'!Z59</f>
        <v>90</v>
      </c>
      <c r="M14" s="21" t="str">
        <f t="shared" si="1"/>
        <v>n.a.</v>
      </c>
      <c r="N14" s="21">
        <v>100</v>
      </c>
      <c r="O14" s="21">
        <v>100</v>
      </c>
      <c r="P14" s="21">
        <v>100</v>
      </c>
      <c r="Q14" s="21">
        <v>100</v>
      </c>
      <c r="R14" s="21" t="s">
        <v>21</v>
      </c>
      <c r="S14" s="23">
        <v>1</v>
      </c>
      <c r="T14" s="17" t="s">
        <v>22</v>
      </c>
      <c r="U14" s="17" t="s">
        <v>49</v>
      </c>
      <c r="V14" s="17" t="s">
        <v>50</v>
      </c>
    </row>
    <row r="15" spans="1:22" ht="52" customHeight="1">
      <c r="A15" s="17" t="s">
        <v>51</v>
      </c>
      <c r="B15" s="17" t="s">
        <v>52</v>
      </c>
      <c r="C15" s="22">
        <v>100</v>
      </c>
      <c r="D15" s="22">
        <v>100</v>
      </c>
      <c r="E15" s="22">
        <v>100</v>
      </c>
      <c r="F15" s="22" t="s">
        <v>1221</v>
      </c>
      <c r="G15" s="17" t="s">
        <v>53</v>
      </c>
      <c r="H15" s="20">
        <f>'Tool blocks'!E65</f>
        <v>2</v>
      </c>
      <c r="I15" s="19" t="str">
        <f>IF(H15=0,"Purchased assembly",IF(T15="Round billet","Ø"&amp;M15&amp;" × "&amp;J15,J15&amp;" × "&amp;K15&amp;" × "&amp;L15))</f>
        <v>210 × 210 × 130</v>
      </c>
      <c r="J15" s="21">
        <f>'Tool blocks'!X65</f>
        <v>210</v>
      </c>
      <c r="K15" s="21">
        <f>'Tool blocks'!Y65</f>
        <v>210</v>
      </c>
      <c r="L15" s="21">
        <f>'Tool blocks'!Z65</f>
        <v>130</v>
      </c>
      <c r="M15" s="21" t="str">
        <f t="shared" si="1"/>
        <v>n.a.</v>
      </c>
      <c r="N15" s="21">
        <v>100</v>
      </c>
      <c r="O15" s="21">
        <v>100</v>
      </c>
      <c r="P15" s="21">
        <v>100</v>
      </c>
      <c r="Q15" s="21">
        <v>100</v>
      </c>
      <c r="R15" s="21" t="s">
        <v>21</v>
      </c>
      <c r="S15" s="23">
        <v>0.5</v>
      </c>
      <c r="T15" s="17" t="s">
        <v>22</v>
      </c>
      <c r="U15" s="17" t="s">
        <v>54</v>
      </c>
      <c r="V15" s="17" t="s">
        <v>55</v>
      </c>
    </row>
    <row r="16" spans="1:22" ht="52" customHeight="1">
      <c r="A16" s="17" t="s">
        <v>51</v>
      </c>
      <c r="B16" s="17" t="s">
        <v>52</v>
      </c>
      <c r="C16" s="22">
        <v>100</v>
      </c>
      <c r="D16" s="22">
        <v>100</v>
      </c>
      <c r="E16" s="22">
        <v>100</v>
      </c>
      <c r="F16" s="22" t="s">
        <v>1221</v>
      </c>
      <c r="G16" s="17" t="s">
        <v>56</v>
      </c>
      <c r="H16" s="20">
        <f>'Tool blocks'!E66</f>
        <v>1</v>
      </c>
      <c r="I16" s="19" t="str">
        <f>IF(H16=0,"Purchased assembly",IF(T16="Round billet","Ø"&amp;M16&amp;" × "&amp;J16,J16&amp;" × "&amp;K16&amp;" × "&amp;L16))</f>
        <v>Ø110 × 70</v>
      </c>
      <c r="J16" s="21">
        <f>'Tool blocks'!Z66</f>
        <v>70</v>
      </c>
      <c r="K16" s="21" t="str">
        <f>"n.a."</f>
        <v>n.a.</v>
      </c>
      <c r="L16" s="21" t="str">
        <f>"n.a."</f>
        <v>n.a.</v>
      </c>
      <c r="M16" s="21">
        <f>'Tool blocks'!X66</f>
        <v>110</v>
      </c>
      <c r="N16" s="21">
        <v>100</v>
      </c>
      <c r="O16" s="21">
        <v>100</v>
      </c>
      <c r="P16" s="21">
        <v>100</v>
      </c>
      <c r="Q16" s="21">
        <v>100</v>
      </c>
      <c r="R16" s="21" t="s">
        <v>21</v>
      </c>
      <c r="S16" s="23">
        <v>0.25</v>
      </c>
      <c r="T16" s="17" t="s">
        <v>29</v>
      </c>
      <c r="U16" s="17" t="s">
        <v>54</v>
      </c>
      <c r="V16" s="17" t="s">
        <v>55</v>
      </c>
    </row>
    <row r="17" spans="1:22" ht="52" customHeight="1">
      <c r="A17" s="17" t="s">
        <v>51</v>
      </c>
      <c r="B17" s="17" t="s">
        <v>52</v>
      </c>
      <c r="C17" s="22">
        <v>100</v>
      </c>
      <c r="D17" s="22">
        <v>100</v>
      </c>
      <c r="E17" s="22">
        <v>100</v>
      </c>
      <c r="F17" s="22" t="s">
        <v>1221</v>
      </c>
      <c r="G17" s="17" t="s">
        <v>57</v>
      </c>
      <c r="H17" s="20">
        <f>'Tool blocks'!E67</f>
        <v>1</v>
      </c>
      <c r="I17" s="19" t="str">
        <f>IF(H17=0,"Purchased assembly",IF(T17="Round billet","Ø"&amp;M17&amp;" × "&amp;J17,J17&amp;" × "&amp;K17&amp;" × "&amp;L17))</f>
        <v>180 × 180 × 50</v>
      </c>
      <c r="J17" s="21">
        <f>'Tool blocks'!X67</f>
        <v>180</v>
      </c>
      <c r="K17" s="21">
        <f>'Tool blocks'!Y67</f>
        <v>180</v>
      </c>
      <c r="L17" s="21">
        <f>'Tool blocks'!Z67</f>
        <v>50</v>
      </c>
      <c r="M17" s="21" t="str">
        <f>"n.a."</f>
        <v>n.a.</v>
      </c>
      <c r="N17" s="21">
        <v>100</v>
      </c>
      <c r="O17" s="21">
        <v>100</v>
      </c>
      <c r="P17" s="21">
        <v>100</v>
      </c>
      <c r="Q17" s="21">
        <v>100</v>
      </c>
      <c r="R17" s="21" t="s">
        <v>21</v>
      </c>
      <c r="S17" s="23">
        <v>0.25</v>
      </c>
      <c r="T17" s="17" t="s">
        <v>22</v>
      </c>
      <c r="U17" s="17" t="s">
        <v>54</v>
      </c>
      <c r="V17" s="17" t="s">
        <v>55</v>
      </c>
    </row>
    <row r="18" spans="1:22" ht="52" customHeight="1">
      <c r="A18" s="17" t="s">
        <v>58</v>
      </c>
      <c r="B18" s="17" t="s">
        <v>59</v>
      </c>
      <c r="C18" s="22">
        <v>1000</v>
      </c>
      <c r="D18" s="22">
        <v>40</v>
      </c>
      <c r="E18" s="22">
        <v>25</v>
      </c>
      <c r="F18" s="22">
        <v>2</v>
      </c>
      <c r="G18" s="17" t="s">
        <v>60</v>
      </c>
      <c r="H18" s="20">
        <f>'Tool blocks'!E83</f>
        <v>1</v>
      </c>
      <c r="I18" s="19" t="str">
        <f>IF(H18=0,"Purchased assembly",IF(T18="Round billet","Ø"&amp;M18&amp;" × "&amp;J18,J18&amp;" × "&amp;K18&amp;" × "&amp;L18))</f>
        <v>130 × 115 × 60</v>
      </c>
      <c r="J18" s="21">
        <f>'Tool blocks'!X83</f>
        <v>130</v>
      </c>
      <c r="K18" s="21">
        <f>'Tool blocks'!Y83</f>
        <v>115</v>
      </c>
      <c r="L18" s="21">
        <f>'Tool blocks'!Z83</f>
        <v>60</v>
      </c>
      <c r="M18" s="21" t="str">
        <f>"n.a."</f>
        <v>n.a.</v>
      </c>
      <c r="N18" s="21">
        <v>1000</v>
      </c>
      <c r="O18" s="21">
        <v>40</v>
      </c>
      <c r="P18" s="21">
        <v>25</v>
      </c>
      <c r="Q18" s="21" t="s">
        <v>21</v>
      </c>
      <c r="R18" s="21">
        <v>2</v>
      </c>
      <c r="S18" s="23">
        <v>0.33333333333333298</v>
      </c>
      <c r="T18" s="17" t="s">
        <v>22</v>
      </c>
      <c r="U18" s="17" t="s">
        <v>61</v>
      </c>
      <c r="V18" s="17" t="s">
        <v>62</v>
      </c>
    </row>
    <row r="19" spans="1:22" ht="52" customHeight="1">
      <c r="A19" s="17" t="s">
        <v>58</v>
      </c>
      <c r="B19" s="17" t="s">
        <v>59</v>
      </c>
      <c r="C19" s="22">
        <v>1000</v>
      </c>
      <c r="D19" s="22">
        <v>40</v>
      </c>
      <c r="E19" s="22">
        <v>25</v>
      </c>
      <c r="F19" s="22">
        <v>2</v>
      </c>
      <c r="G19" s="17" t="s">
        <v>63</v>
      </c>
      <c r="H19" s="20">
        <f>'Tool blocks'!E84</f>
        <v>1</v>
      </c>
      <c r="I19" s="19" t="str">
        <f>IF(H19=0,"Purchased assembly",IF(T19="Round billet","Ø"&amp;M19&amp;" × "&amp;J19,J19&amp;" × "&amp;K19&amp;" × "&amp;L19))</f>
        <v>45 × 30 × 110</v>
      </c>
      <c r="J19" s="21">
        <f>'Tool blocks'!X84</f>
        <v>45</v>
      </c>
      <c r="K19" s="21">
        <f>'Tool blocks'!Y84</f>
        <v>30</v>
      </c>
      <c r="L19" s="21">
        <f>'Tool blocks'!Z84</f>
        <v>110</v>
      </c>
      <c r="M19" s="21" t="str">
        <f>"n.a."</f>
        <v>n.a.</v>
      </c>
      <c r="N19" s="21">
        <v>1000</v>
      </c>
      <c r="O19" s="21">
        <v>40</v>
      </c>
      <c r="P19" s="21">
        <v>25</v>
      </c>
      <c r="Q19" s="21" t="s">
        <v>21</v>
      </c>
      <c r="R19" s="21">
        <v>2</v>
      </c>
      <c r="S19" s="23">
        <v>0.33333333333333298</v>
      </c>
      <c r="T19" s="17" t="s">
        <v>22</v>
      </c>
      <c r="U19" s="17" t="s">
        <v>61</v>
      </c>
      <c r="V19" s="17" t="s">
        <v>62</v>
      </c>
    </row>
    <row r="20" spans="1:22" ht="52" customHeight="1">
      <c r="A20" s="17" t="s">
        <v>58</v>
      </c>
      <c r="B20" s="17" t="s">
        <v>59</v>
      </c>
      <c r="C20" s="22">
        <v>1000</v>
      </c>
      <c r="D20" s="22">
        <v>40</v>
      </c>
      <c r="E20" s="22">
        <v>25</v>
      </c>
      <c r="F20" s="22">
        <v>2</v>
      </c>
      <c r="G20" s="17" t="s">
        <v>64</v>
      </c>
      <c r="H20" s="20">
        <f>'Tool blocks'!E85</f>
        <v>1</v>
      </c>
      <c r="I20" s="19" t="str">
        <f>IF(H20=0,"Purchased assembly",IF(T20="Round billet","Ø"&amp;M20&amp;" × "&amp;J20,J20&amp;" × "&amp;K20&amp;" × "&amp;L20))</f>
        <v>110 × 95 × 210</v>
      </c>
      <c r="J20" s="21">
        <f>'Tool blocks'!X85</f>
        <v>110</v>
      </c>
      <c r="K20" s="21">
        <f>'Tool blocks'!Y85</f>
        <v>95</v>
      </c>
      <c r="L20" s="21">
        <f>'Tool blocks'!Z85</f>
        <v>210</v>
      </c>
      <c r="M20" s="21" t="str">
        <f>"n.a."</f>
        <v>n.a.</v>
      </c>
      <c r="N20" s="21">
        <v>1000</v>
      </c>
      <c r="O20" s="21">
        <v>40</v>
      </c>
      <c r="P20" s="21">
        <v>25</v>
      </c>
      <c r="Q20" s="21" t="s">
        <v>21</v>
      </c>
      <c r="R20" s="21">
        <v>2</v>
      </c>
      <c r="S20" s="23">
        <v>0.33333333333333298</v>
      </c>
      <c r="T20" s="17" t="s">
        <v>22</v>
      </c>
      <c r="U20" s="17" t="s">
        <v>61</v>
      </c>
      <c r="V20" s="17" t="s">
        <v>62</v>
      </c>
    </row>
    <row r="21" spans="1:22" ht="52" customHeight="1">
      <c r="A21" s="17" t="s">
        <v>65</v>
      </c>
      <c r="B21" s="17" t="s">
        <v>66</v>
      </c>
      <c r="C21" s="22">
        <v>100</v>
      </c>
      <c r="D21" s="22">
        <v>100</v>
      </c>
      <c r="E21" s="22">
        <v>120</v>
      </c>
      <c r="F21" s="22">
        <v>1</v>
      </c>
      <c r="G21" s="17" t="s">
        <v>67</v>
      </c>
      <c r="H21" s="20">
        <f>'Tool blocks'!E101</f>
        <v>2</v>
      </c>
      <c r="I21" s="19" t="str">
        <f>IF(H21=0,"Purchased assembly",IF(T21="Round billet","Ø"&amp;M21&amp;" × "&amp;J21,J21&amp;" × "&amp;K21&amp;" × "&amp;L21))</f>
        <v>170 × 190 × 85</v>
      </c>
      <c r="J21" s="21">
        <f>'Tool blocks'!X101</f>
        <v>170</v>
      </c>
      <c r="K21" s="21">
        <f>'Tool blocks'!Y101</f>
        <v>190</v>
      </c>
      <c r="L21" s="21">
        <f>'Tool blocks'!Z101</f>
        <v>85</v>
      </c>
      <c r="M21" s="21" t="str">
        <f>"n.a."</f>
        <v>n.a.</v>
      </c>
      <c r="N21" s="21">
        <v>100</v>
      </c>
      <c r="O21" s="21">
        <v>100</v>
      </c>
      <c r="P21" s="21">
        <v>120</v>
      </c>
      <c r="Q21" s="21">
        <v>100</v>
      </c>
      <c r="R21" s="21">
        <v>1</v>
      </c>
      <c r="S21" s="23">
        <v>0.66666666666666596</v>
      </c>
      <c r="T21" s="17" t="s">
        <v>22</v>
      </c>
      <c r="U21" s="17" t="s">
        <v>68</v>
      </c>
      <c r="V21" s="17" t="s">
        <v>69</v>
      </c>
    </row>
    <row r="22" spans="1:22" ht="52" customHeight="1">
      <c r="A22" s="17" t="s">
        <v>65</v>
      </c>
      <c r="B22" s="17" t="s">
        <v>66</v>
      </c>
      <c r="C22" s="22">
        <v>100</v>
      </c>
      <c r="D22" s="22">
        <v>100</v>
      </c>
      <c r="E22" s="22">
        <v>120</v>
      </c>
      <c r="F22" s="22">
        <v>1</v>
      </c>
      <c r="G22" s="17" t="s">
        <v>70</v>
      </c>
      <c r="H22" s="20">
        <f>'Tool blocks'!E102</f>
        <v>1</v>
      </c>
      <c r="I22" s="19" t="str">
        <f>IF(H22=0,"Purchased assembly",IF(T22="Round billet","Ø"&amp;M22&amp;" × "&amp;J22,J22&amp;" × "&amp;K22&amp;" × "&amp;L22))</f>
        <v>Ø30 × 90</v>
      </c>
      <c r="J22" s="21">
        <f>'Tool blocks'!Z102</f>
        <v>90</v>
      </c>
      <c r="K22" s="21" t="str">
        <f>"n.a."</f>
        <v>n.a.</v>
      </c>
      <c r="L22" s="21" t="str">
        <f>"n.a."</f>
        <v>n.a.</v>
      </c>
      <c r="M22" s="21">
        <f>'Tool blocks'!X102</f>
        <v>30</v>
      </c>
      <c r="N22" s="21">
        <v>100</v>
      </c>
      <c r="O22" s="21">
        <v>100</v>
      </c>
      <c r="P22" s="21">
        <v>120</v>
      </c>
      <c r="Q22" s="21">
        <v>100</v>
      </c>
      <c r="R22" s="21">
        <v>1</v>
      </c>
      <c r="S22" s="23">
        <v>0.33333333333333298</v>
      </c>
      <c r="T22" s="17" t="s">
        <v>29</v>
      </c>
      <c r="U22" s="17" t="s">
        <v>68</v>
      </c>
      <c r="V22" s="17" t="s">
        <v>69</v>
      </c>
    </row>
    <row r="23" spans="1:22" ht="52" customHeight="1">
      <c r="A23" s="17" t="s">
        <v>71</v>
      </c>
      <c r="B23" s="17" t="s">
        <v>35</v>
      </c>
      <c r="C23" s="22">
        <v>100</v>
      </c>
      <c r="D23" s="22">
        <v>100</v>
      </c>
      <c r="E23" s="22">
        <v>50</v>
      </c>
      <c r="F23" s="22">
        <v>3</v>
      </c>
      <c r="G23" s="17" t="s">
        <v>36</v>
      </c>
      <c r="H23" s="20">
        <f>'Tool blocks'!E113</f>
        <v>1</v>
      </c>
      <c r="I23" s="19" t="str">
        <f>IF(H23=0,"Purchased assembly",IF(T23="Round billet","Ø"&amp;M23&amp;" × "&amp;J23,J23&amp;" × "&amp;K23&amp;" × "&amp;L23))</f>
        <v>180 × 180 × 95</v>
      </c>
      <c r="J23" s="21">
        <f>'Tool blocks'!X113</f>
        <v>180</v>
      </c>
      <c r="K23" s="21">
        <f>'Tool blocks'!Y113</f>
        <v>180</v>
      </c>
      <c r="L23" s="21">
        <f>'Tool blocks'!Z113</f>
        <v>95</v>
      </c>
      <c r="M23" s="21" t="str">
        <f>"n.a."</f>
        <v>n.a.</v>
      </c>
      <c r="N23" s="21">
        <v>100</v>
      </c>
      <c r="O23" s="21">
        <v>100</v>
      </c>
      <c r="P23" s="21">
        <v>50</v>
      </c>
      <c r="Q23" s="21">
        <v>100</v>
      </c>
      <c r="R23" s="21">
        <v>3</v>
      </c>
      <c r="S23" s="23">
        <v>0.5</v>
      </c>
      <c r="T23" s="17" t="s">
        <v>22</v>
      </c>
      <c r="U23" s="17" t="s">
        <v>72</v>
      </c>
      <c r="V23" s="17" t="s">
        <v>73</v>
      </c>
    </row>
    <row r="24" spans="1:22" ht="52" customHeight="1">
      <c r="A24" s="17" t="s">
        <v>71</v>
      </c>
      <c r="B24" s="17" t="s">
        <v>35</v>
      </c>
      <c r="C24" s="22">
        <v>100</v>
      </c>
      <c r="D24" s="22">
        <v>100</v>
      </c>
      <c r="E24" s="22">
        <v>50</v>
      </c>
      <c r="F24" s="22">
        <v>3</v>
      </c>
      <c r="G24" s="17" t="s">
        <v>39</v>
      </c>
      <c r="H24" s="20">
        <f>'Tool blocks'!E114</f>
        <v>1</v>
      </c>
      <c r="I24" s="19" t="str">
        <f>IF(H24=0,"Purchased assembly",IF(T24="Round billet","Ø"&amp;M24&amp;" × "&amp;J24,J24&amp;" × "&amp;K24&amp;" × "&amp;L24))</f>
        <v>165 × 165 × 85</v>
      </c>
      <c r="J24" s="21">
        <f>'Tool blocks'!X114</f>
        <v>165</v>
      </c>
      <c r="K24" s="21">
        <f>'Tool blocks'!Y114</f>
        <v>165</v>
      </c>
      <c r="L24" s="21">
        <f>'Tool blocks'!Z114</f>
        <v>85</v>
      </c>
      <c r="M24" s="21" t="str">
        <f>"n.a."</f>
        <v>n.a.</v>
      </c>
      <c r="N24" s="21">
        <v>100</v>
      </c>
      <c r="O24" s="21">
        <v>100</v>
      </c>
      <c r="P24" s="21">
        <v>50</v>
      </c>
      <c r="Q24" s="21">
        <v>100</v>
      </c>
      <c r="R24" s="21">
        <v>3</v>
      </c>
      <c r="S24" s="23">
        <v>0.5</v>
      </c>
      <c r="T24" s="17" t="s">
        <v>22</v>
      </c>
      <c r="U24" s="17" t="s">
        <v>72</v>
      </c>
      <c r="V24" s="17" t="s">
        <v>73</v>
      </c>
    </row>
    <row r="25" spans="1:22" ht="52" customHeight="1">
      <c r="A25" s="17" t="s">
        <v>74</v>
      </c>
      <c r="B25" s="17" t="s">
        <v>75</v>
      </c>
      <c r="C25" s="22">
        <v>60</v>
      </c>
      <c r="D25" s="22">
        <v>40</v>
      </c>
      <c r="E25" s="22">
        <v>15</v>
      </c>
      <c r="F25" s="22" t="s">
        <v>1221</v>
      </c>
      <c r="G25" s="17" t="s">
        <v>76</v>
      </c>
      <c r="H25" s="20">
        <f>'Tool blocks'!E125</f>
        <v>2</v>
      </c>
      <c r="I25" s="19" t="str">
        <f>IF(H25=0,"Purchased assembly",IF(T25="Round billet","Ø"&amp;M25&amp;" × "&amp;J25,J25&amp;" × "&amp;K25&amp;" × "&amp;L25))</f>
        <v>130 × 110 × 45</v>
      </c>
      <c r="J25" s="21">
        <f>'Tool blocks'!X125</f>
        <v>130</v>
      </c>
      <c r="K25" s="21">
        <f>'Tool blocks'!Y125</f>
        <v>110</v>
      </c>
      <c r="L25" s="21">
        <f>'Tool blocks'!Z125</f>
        <v>45</v>
      </c>
      <c r="M25" s="21" t="str">
        <f>"n.a."</f>
        <v>n.a.</v>
      </c>
      <c r="N25" s="21">
        <v>60</v>
      </c>
      <c r="O25" s="21">
        <v>40</v>
      </c>
      <c r="P25" s="21">
        <v>15</v>
      </c>
      <c r="Q25" s="21" t="s">
        <v>21</v>
      </c>
      <c r="R25" s="21" t="s">
        <v>21</v>
      </c>
      <c r="S25" s="23">
        <v>0.33333333333333398</v>
      </c>
      <c r="T25" s="17" t="s">
        <v>22</v>
      </c>
      <c r="U25" s="17" t="s">
        <v>77</v>
      </c>
      <c r="V25" s="17" t="s">
        <v>78</v>
      </c>
    </row>
    <row r="26" spans="1:22" ht="52" customHeight="1">
      <c r="A26" s="17" t="s">
        <v>74</v>
      </c>
      <c r="B26" s="17" t="s">
        <v>75</v>
      </c>
      <c r="C26" s="22">
        <v>60</v>
      </c>
      <c r="D26" s="22">
        <v>40</v>
      </c>
      <c r="E26" s="22">
        <v>15</v>
      </c>
      <c r="F26" s="22" t="s">
        <v>1221</v>
      </c>
      <c r="G26" s="17" t="s">
        <v>79</v>
      </c>
      <c r="H26" s="20">
        <f>'Tool blocks'!E126</f>
        <v>2</v>
      </c>
      <c r="I26" s="19" t="str">
        <f>IF(H26=0,"Purchased assembly",IF(T26="Round billet","Ø"&amp;M26&amp;" × "&amp;J26,J26&amp;" × "&amp;K26&amp;" × "&amp;L26))</f>
        <v>Ø9 × 43</v>
      </c>
      <c r="J26" s="21">
        <f>'Tool blocks'!Z126</f>
        <v>43</v>
      </c>
      <c r="K26" s="21" t="str">
        <f t="shared" ref="K26:L28" si="2">"n.a."</f>
        <v>n.a.</v>
      </c>
      <c r="L26" s="21" t="str">
        <f t="shared" si="2"/>
        <v>n.a.</v>
      </c>
      <c r="M26" s="21">
        <f>'Tool blocks'!X126</f>
        <v>9</v>
      </c>
      <c r="N26" s="21">
        <v>60</v>
      </c>
      <c r="O26" s="21">
        <v>40</v>
      </c>
      <c r="P26" s="21">
        <v>15</v>
      </c>
      <c r="Q26" s="21" t="s">
        <v>21</v>
      </c>
      <c r="R26" s="21" t="s">
        <v>21</v>
      </c>
      <c r="S26" s="23">
        <v>0.33333333333333398</v>
      </c>
      <c r="T26" s="17" t="s">
        <v>29</v>
      </c>
      <c r="U26" s="17" t="s">
        <v>77</v>
      </c>
      <c r="V26" s="17" t="s">
        <v>78</v>
      </c>
    </row>
    <row r="27" spans="1:22" ht="52" customHeight="1">
      <c r="A27" s="17" t="s">
        <v>74</v>
      </c>
      <c r="B27" s="17" t="s">
        <v>75</v>
      </c>
      <c r="C27" s="22">
        <v>60</v>
      </c>
      <c r="D27" s="22">
        <v>40</v>
      </c>
      <c r="E27" s="22">
        <v>15</v>
      </c>
      <c r="F27" s="22" t="s">
        <v>1221</v>
      </c>
      <c r="G27" s="17" t="s">
        <v>80</v>
      </c>
      <c r="H27" s="20">
        <f>'Tool blocks'!E127</f>
        <v>1</v>
      </c>
      <c r="I27" s="19" t="str">
        <f>IF(H27=0,"Purchased assembly",IF(T27="Round billet","Ø"&amp;M27&amp;" × "&amp;J27,J27&amp;" × "&amp;K27&amp;" × "&amp;L27))</f>
        <v>Ø90 × 60</v>
      </c>
      <c r="J27" s="21">
        <f>'Tool blocks'!Z127</f>
        <v>60</v>
      </c>
      <c r="K27" s="21" t="str">
        <f t="shared" si="2"/>
        <v>n.a.</v>
      </c>
      <c r="L27" s="21" t="str">
        <f t="shared" si="2"/>
        <v>n.a.</v>
      </c>
      <c r="M27" s="21">
        <f>'Tool blocks'!X127</f>
        <v>90</v>
      </c>
      <c r="N27" s="21">
        <v>60</v>
      </c>
      <c r="O27" s="21">
        <v>40</v>
      </c>
      <c r="P27" s="21">
        <v>15</v>
      </c>
      <c r="Q27" s="21" t="s">
        <v>21</v>
      </c>
      <c r="R27" s="21" t="s">
        <v>21</v>
      </c>
      <c r="S27" s="23">
        <v>0.16666666666666699</v>
      </c>
      <c r="T27" s="17" t="s">
        <v>29</v>
      </c>
      <c r="U27" s="17" t="s">
        <v>77</v>
      </c>
      <c r="V27" s="17" t="s">
        <v>78</v>
      </c>
    </row>
    <row r="28" spans="1:22" ht="52" customHeight="1">
      <c r="A28" s="17" t="s">
        <v>74</v>
      </c>
      <c r="B28" s="17" t="s">
        <v>75</v>
      </c>
      <c r="C28" s="22">
        <v>60</v>
      </c>
      <c r="D28" s="22">
        <v>40</v>
      </c>
      <c r="E28" s="22">
        <v>15</v>
      </c>
      <c r="F28" s="22" t="s">
        <v>1221</v>
      </c>
      <c r="G28" s="17" t="s">
        <v>81</v>
      </c>
      <c r="H28" s="20">
        <f>'Tool blocks'!E128</f>
        <v>1</v>
      </c>
      <c r="I28" s="19" t="str">
        <f>IF(H28=0,"Purchased assembly",IF(T28="Round billet","Ø"&amp;M28&amp;" × "&amp;J28,J28&amp;" × "&amp;K28&amp;" × "&amp;L28))</f>
        <v>Ø50 × 90</v>
      </c>
      <c r="J28" s="21">
        <f>'Tool blocks'!Z128</f>
        <v>90</v>
      </c>
      <c r="K28" s="21" t="str">
        <f t="shared" si="2"/>
        <v>n.a.</v>
      </c>
      <c r="L28" s="21" t="str">
        <f t="shared" si="2"/>
        <v>n.a.</v>
      </c>
      <c r="M28" s="21">
        <f>'Tool blocks'!X128</f>
        <v>50</v>
      </c>
      <c r="N28" s="21">
        <v>60</v>
      </c>
      <c r="O28" s="21">
        <v>40</v>
      </c>
      <c r="P28" s="21">
        <v>15</v>
      </c>
      <c r="Q28" s="21" t="s">
        <v>21</v>
      </c>
      <c r="R28" s="21" t="s">
        <v>21</v>
      </c>
      <c r="S28" s="23">
        <v>0.16666666666666699</v>
      </c>
      <c r="T28" s="17" t="s">
        <v>29</v>
      </c>
      <c r="U28" s="17" t="s">
        <v>77</v>
      </c>
      <c r="V28" s="17" t="s">
        <v>78</v>
      </c>
    </row>
    <row r="29" spans="1:22" ht="52" customHeight="1">
      <c r="A29" s="17" t="s">
        <v>82</v>
      </c>
      <c r="B29" s="17" t="s">
        <v>83</v>
      </c>
      <c r="C29" s="22">
        <v>100</v>
      </c>
      <c r="D29" s="22">
        <v>100</v>
      </c>
      <c r="E29" s="22">
        <v>100</v>
      </c>
      <c r="F29" s="22">
        <v>3</v>
      </c>
      <c r="G29" s="17" t="s">
        <v>84</v>
      </c>
      <c r="H29" s="20">
        <f>'Tool blocks'!E149</f>
        <v>2</v>
      </c>
      <c r="I29" s="19" t="str">
        <f>IF(H29=0,"Purchased assembly",IF(T29="Round billet","Ø"&amp;M29&amp;" × "&amp;J29,J29&amp;" × "&amp;K29&amp;" × "&amp;L29))</f>
        <v>150 × 150 × 70</v>
      </c>
      <c r="J29" s="21">
        <f>'Tool blocks'!X149</f>
        <v>150</v>
      </c>
      <c r="K29" s="21">
        <f>'Tool blocks'!Y149</f>
        <v>150</v>
      </c>
      <c r="L29" s="21">
        <f>'Tool blocks'!Z149</f>
        <v>70</v>
      </c>
      <c r="M29" s="21" t="str">
        <f>"n.a."</f>
        <v>n.a.</v>
      </c>
      <c r="N29" s="21">
        <v>100</v>
      </c>
      <c r="O29" s="21">
        <v>100</v>
      </c>
      <c r="P29" s="21">
        <v>100</v>
      </c>
      <c r="Q29" s="21">
        <v>100</v>
      </c>
      <c r="R29" s="21">
        <v>3</v>
      </c>
      <c r="S29" s="23">
        <v>1</v>
      </c>
      <c r="T29" s="17" t="s">
        <v>22</v>
      </c>
      <c r="U29" s="17" t="s">
        <v>85</v>
      </c>
      <c r="V29" s="17" t="s">
        <v>86</v>
      </c>
    </row>
    <row r="30" spans="1:22" ht="52" customHeight="1">
      <c r="A30" s="17" t="s">
        <v>87</v>
      </c>
      <c r="B30" s="17" t="s">
        <v>88</v>
      </c>
      <c r="C30" s="22">
        <v>40</v>
      </c>
      <c r="D30" s="22">
        <v>40</v>
      </c>
      <c r="E30" s="22">
        <v>25</v>
      </c>
      <c r="F30" s="22" t="s">
        <v>1221</v>
      </c>
      <c r="G30" s="17" t="s">
        <v>89</v>
      </c>
      <c r="H30" s="20">
        <f>'Tool blocks'!E155</f>
        <v>1</v>
      </c>
      <c r="I30" s="19" t="str">
        <f>IF(H30=0,"Purchased assembly",IF(T30="Round billet","Ø"&amp;M30&amp;" × "&amp;J30,J30&amp;" × "&amp;K30&amp;" × "&amp;L30))</f>
        <v>Ø110 × 70</v>
      </c>
      <c r="J30" s="21">
        <f>'Tool blocks'!Z155</f>
        <v>70</v>
      </c>
      <c r="K30" s="21" t="str">
        <f t="shared" ref="K30:L34" si="3">"n.a."</f>
        <v>n.a.</v>
      </c>
      <c r="L30" s="21" t="str">
        <f t="shared" si="3"/>
        <v>n.a.</v>
      </c>
      <c r="M30" s="21">
        <f>'Tool blocks'!X155</f>
        <v>110</v>
      </c>
      <c r="N30" s="21">
        <v>40</v>
      </c>
      <c r="O30" s="21">
        <v>40</v>
      </c>
      <c r="P30" s="21">
        <v>25</v>
      </c>
      <c r="Q30" s="21">
        <v>40</v>
      </c>
      <c r="R30" s="21" t="s">
        <v>90</v>
      </c>
      <c r="S30" s="23">
        <v>0.2</v>
      </c>
      <c r="T30" s="17" t="s">
        <v>29</v>
      </c>
      <c r="U30" s="17" t="s">
        <v>91</v>
      </c>
      <c r="V30" s="17" t="s">
        <v>92</v>
      </c>
    </row>
    <row r="31" spans="1:22" ht="52" customHeight="1">
      <c r="A31" s="17" t="s">
        <v>87</v>
      </c>
      <c r="B31" s="17" t="s">
        <v>88</v>
      </c>
      <c r="C31" s="22">
        <v>40</v>
      </c>
      <c r="D31" s="22">
        <v>40</v>
      </c>
      <c r="E31" s="22">
        <v>25</v>
      </c>
      <c r="F31" s="22" t="s">
        <v>1221</v>
      </c>
      <c r="G31" s="17" t="s">
        <v>93</v>
      </c>
      <c r="H31" s="20">
        <f>'Tool blocks'!E156</f>
        <v>1</v>
      </c>
      <c r="I31" s="19" t="str">
        <f>IF(H31=0,"Purchased assembly",IF(T31="Round billet","Ø"&amp;M31&amp;" × "&amp;J31,J31&amp;" × "&amp;K31&amp;" × "&amp;L31))</f>
        <v>Ø50 × 70</v>
      </c>
      <c r="J31" s="21">
        <f>'Tool blocks'!Z156</f>
        <v>70</v>
      </c>
      <c r="K31" s="21" t="str">
        <f t="shared" si="3"/>
        <v>n.a.</v>
      </c>
      <c r="L31" s="21" t="str">
        <f t="shared" si="3"/>
        <v>n.a.</v>
      </c>
      <c r="M31" s="21">
        <f>'Tool blocks'!X156</f>
        <v>50</v>
      </c>
      <c r="N31" s="21">
        <v>40</v>
      </c>
      <c r="O31" s="21">
        <v>40</v>
      </c>
      <c r="P31" s="21">
        <v>25</v>
      </c>
      <c r="Q31" s="21">
        <v>40</v>
      </c>
      <c r="R31" s="21" t="s">
        <v>90</v>
      </c>
      <c r="S31" s="23">
        <v>0.2</v>
      </c>
      <c r="T31" s="17" t="s">
        <v>29</v>
      </c>
      <c r="U31" s="17" t="s">
        <v>91</v>
      </c>
      <c r="V31" s="17" t="s">
        <v>92</v>
      </c>
    </row>
    <row r="32" spans="1:22" ht="52" customHeight="1">
      <c r="A32" s="17" t="s">
        <v>87</v>
      </c>
      <c r="B32" s="17" t="s">
        <v>88</v>
      </c>
      <c r="C32" s="22">
        <v>40</v>
      </c>
      <c r="D32" s="22">
        <v>40</v>
      </c>
      <c r="E32" s="22">
        <v>25</v>
      </c>
      <c r="F32" s="22" t="s">
        <v>1221</v>
      </c>
      <c r="G32" s="17" t="s">
        <v>94</v>
      </c>
      <c r="H32" s="20">
        <f>'Tool blocks'!E157</f>
        <v>1</v>
      </c>
      <c r="I32" s="19" t="str">
        <f>IF(H32=0,"Purchased assembly",IF(T32="Round billet","Ø"&amp;M32&amp;" × "&amp;J32,J32&amp;" × "&amp;K32&amp;" × "&amp;L32))</f>
        <v>Ø40 × 90</v>
      </c>
      <c r="J32" s="21">
        <f>'Tool blocks'!Z157</f>
        <v>90</v>
      </c>
      <c r="K32" s="21" t="str">
        <f t="shared" si="3"/>
        <v>n.a.</v>
      </c>
      <c r="L32" s="21" t="str">
        <f t="shared" si="3"/>
        <v>n.a.</v>
      </c>
      <c r="M32" s="21">
        <f>'Tool blocks'!X157</f>
        <v>40</v>
      </c>
      <c r="N32" s="21">
        <v>40</v>
      </c>
      <c r="O32" s="21">
        <v>40</v>
      </c>
      <c r="P32" s="21">
        <v>25</v>
      </c>
      <c r="Q32" s="21">
        <v>40</v>
      </c>
      <c r="R32" s="21" t="s">
        <v>90</v>
      </c>
      <c r="S32" s="23">
        <v>0.2</v>
      </c>
      <c r="T32" s="17" t="s">
        <v>29</v>
      </c>
      <c r="U32" s="17" t="s">
        <v>91</v>
      </c>
      <c r="V32" s="17" t="s">
        <v>92</v>
      </c>
    </row>
    <row r="33" spans="1:22" ht="52" customHeight="1">
      <c r="A33" s="17" t="s">
        <v>87</v>
      </c>
      <c r="B33" s="17" t="s">
        <v>88</v>
      </c>
      <c r="C33" s="22">
        <v>40</v>
      </c>
      <c r="D33" s="22">
        <v>40</v>
      </c>
      <c r="E33" s="22">
        <v>25</v>
      </c>
      <c r="F33" s="22" t="s">
        <v>1221</v>
      </c>
      <c r="G33" s="17" t="s">
        <v>95</v>
      </c>
      <c r="H33" s="20">
        <f>'Tool blocks'!E158</f>
        <v>1</v>
      </c>
      <c r="I33" s="19" t="str">
        <f>IF(H33=0,"Purchased assembly",IF(T33="Round billet","Ø"&amp;M33&amp;" × "&amp;J33,J33&amp;" × "&amp;K33&amp;" × "&amp;L33))</f>
        <v>Ø50 × 90</v>
      </c>
      <c r="J33" s="21">
        <f>'Tool blocks'!Z158</f>
        <v>90</v>
      </c>
      <c r="K33" s="21" t="str">
        <f t="shared" si="3"/>
        <v>n.a.</v>
      </c>
      <c r="L33" s="21" t="str">
        <f t="shared" si="3"/>
        <v>n.a.</v>
      </c>
      <c r="M33" s="21">
        <f>'Tool blocks'!X158</f>
        <v>50</v>
      </c>
      <c r="N33" s="21">
        <v>40</v>
      </c>
      <c r="O33" s="21">
        <v>40</v>
      </c>
      <c r="P33" s="21">
        <v>25</v>
      </c>
      <c r="Q33" s="21">
        <v>40</v>
      </c>
      <c r="R33" s="21" t="s">
        <v>90</v>
      </c>
      <c r="S33" s="23">
        <v>0.2</v>
      </c>
      <c r="T33" s="17" t="s">
        <v>29</v>
      </c>
      <c r="U33" s="17" t="s">
        <v>91</v>
      </c>
      <c r="V33" s="17" t="s">
        <v>92</v>
      </c>
    </row>
    <row r="34" spans="1:22" ht="52" customHeight="1">
      <c r="A34" s="17" t="s">
        <v>87</v>
      </c>
      <c r="B34" s="17" t="s">
        <v>88</v>
      </c>
      <c r="C34" s="22">
        <v>40</v>
      </c>
      <c r="D34" s="22">
        <v>40</v>
      </c>
      <c r="E34" s="22">
        <v>25</v>
      </c>
      <c r="F34" s="22" t="s">
        <v>1221</v>
      </c>
      <c r="G34" s="17" t="s">
        <v>96</v>
      </c>
      <c r="H34" s="20">
        <f>'Tool blocks'!E159</f>
        <v>1</v>
      </c>
      <c r="I34" s="19" t="str">
        <f>IF(H34=0,"Purchased assembly",IF(T34="Round billet","Ø"&amp;M34&amp;" × "&amp;J34,J34&amp;" × "&amp;K34&amp;" × "&amp;L34))</f>
        <v>Ø22 × 102</v>
      </c>
      <c r="J34" s="21">
        <f>'Tool blocks'!Z159</f>
        <v>102</v>
      </c>
      <c r="K34" s="21" t="str">
        <f t="shared" si="3"/>
        <v>n.a.</v>
      </c>
      <c r="L34" s="21" t="str">
        <f t="shared" si="3"/>
        <v>n.a.</v>
      </c>
      <c r="M34" s="21">
        <f>'Tool blocks'!X159</f>
        <v>22</v>
      </c>
      <c r="N34" s="21">
        <v>40</v>
      </c>
      <c r="O34" s="21">
        <v>40</v>
      </c>
      <c r="P34" s="21">
        <v>25</v>
      </c>
      <c r="Q34" s="21">
        <v>40</v>
      </c>
      <c r="R34" s="21" t="s">
        <v>90</v>
      </c>
      <c r="S34" s="23">
        <v>0.2</v>
      </c>
      <c r="T34" s="17" t="s">
        <v>29</v>
      </c>
      <c r="U34" s="17" t="s">
        <v>91</v>
      </c>
      <c r="V34" s="17" t="s">
        <v>92</v>
      </c>
    </row>
    <row r="35" spans="1:22" ht="52" customHeight="1">
      <c r="A35" s="17" t="s">
        <v>97</v>
      </c>
      <c r="B35" s="17" t="s">
        <v>98</v>
      </c>
      <c r="C35" s="22">
        <v>30</v>
      </c>
      <c r="D35" s="22">
        <v>15</v>
      </c>
      <c r="E35" s="22">
        <v>12</v>
      </c>
      <c r="F35" s="22">
        <v>3</v>
      </c>
      <c r="G35" s="17" t="s">
        <v>99</v>
      </c>
      <c r="H35" s="20">
        <f>'Tool blocks'!E185</f>
        <v>1</v>
      </c>
      <c r="I35" s="19" t="str">
        <f>IF(H35=0,"Purchased assembly",IF(T35="Round billet","Ø"&amp;M35&amp;" × "&amp;J35,J35&amp;" × "&amp;K35&amp;" × "&amp;L35))</f>
        <v>95 × 75 × 40</v>
      </c>
      <c r="J35" s="21">
        <f>'Tool blocks'!X185</f>
        <v>95</v>
      </c>
      <c r="K35" s="21">
        <f>'Tool blocks'!Y185</f>
        <v>75</v>
      </c>
      <c r="L35" s="21">
        <f>'Tool blocks'!Z185</f>
        <v>40</v>
      </c>
      <c r="M35" s="21" t="str">
        <f>"n.a."</f>
        <v>n.a.</v>
      </c>
      <c r="N35" s="21">
        <v>30</v>
      </c>
      <c r="O35" s="21">
        <v>15</v>
      </c>
      <c r="P35" s="21">
        <v>12</v>
      </c>
      <c r="Q35" s="21" t="s">
        <v>21</v>
      </c>
      <c r="R35" s="21">
        <v>3</v>
      </c>
      <c r="S35" s="23">
        <v>0.25</v>
      </c>
      <c r="T35" s="17" t="s">
        <v>22</v>
      </c>
      <c r="U35" s="17" t="s">
        <v>100</v>
      </c>
      <c r="V35" s="17" t="s">
        <v>101</v>
      </c>
    </row>
    <row r="36" spans="1:22" ht="52" customHeight="1">
      <c r="A36" s="17" t="s">
        <v>97</v>
      </c>
      <c r="B36" s="17" t="s">
        <v>98</v>
      </c>
      <c r="C36" s="22">
        <v>30</v>
      </c>
      <c r="D36" s="22">
        <v>15</v>
      </c>
      <c r="E36" s="22">
        <v>12</v>
      </c>
      <c r="F36" s="22">
        <v>3</v>
      </c>
      <c r="G36" s="17" t="s">
        <v>102</v>
      </c>
      <c r="H36" s="20">
        <f>'Tool blocks'!E186</f>
        <v>1</v>
      </c>
      <c r="I36" s="19" t="str">
        <f>IF(H36=0,"Purchased assembly",IF(T36="Round billet","Ø"&amp;M36&amp;" × "&amp;J36,J36&amp;" × "&amp;K36&amp;" × "&amp;L36))</f>
        <v>95 × 75 × 40</v>
      </c>
      <c r="J36" s="21">
        <f>'Tool blocks'!X186</f>
        <v>95</v>
      </c>
      <c r="K36" s="21">
        <f>'Tool blocks'!Y186</f>
        <v>75</v>
      </c>
      <c r="L36" s="21">
        <f>'Tool blocks'!Z186</f>
        <v>40</v>
      </c>
      <c r="M36" s="21" t="str">
        <f>"n.a."</f>
        <v>n.a.</v>
      </c>
      <c r="N36" s="21">
        <v>30</v>
      </c>
      <c r="O36" s="21">
        <v>15</v>
      </c>
      <c r="P36" s="21">
        <v>12</v>
      </c>
      <c r="Q36" s="21" t="s">
        <v>21</v>
      </c>
      <c r="R36" s="21">
        <v>3</v>
      </c>
      <c r="S36" s="23">
        <v>0.25</v>
      </c>
      <c r="T36" s="17" t="s">
        <v>22</v>
      </c>
      <c r="U36" s="17" t="s">
        <v>100</v>
      </c>
      <c r="V36" s="17" t="s">
        <v>101</v>
      </c>
    </row>
    <row r="37" spans="1:22" ht="52" customHeight="1">
      <c r="A37" s="17" t="s">
        <v>97</v>
      </c>
      <c r="B37" s="17" t="s">
        <v>98</v>
      </c>
      <c r="C37" s="22">
        <v>30</v>
      </c>
      <c r="D37" s="22">
        <v>15</v>
      </c>
      <c r="E37" s="22">
        <v>12</v>
      </c>
      <c r="F37" s="22">
        <v>3</v>
      </c>
      <c r="G37" s="17" t="s">
        <v>103</v>
      </c>
      <c r="H37" s="20">
        <f>'Tool blocks'!E187</f>
        <v>1</v>
      </c>
      <c r="I37" s="19" t="str">
        <f>IF(H37=0,"Purchased assembly",IF(T37="Round billet","Ø"&amp;M37&amp;" × "&amp;J37,J37&amp;" × "&amp;K37&amp;" × "&amp;L37))</f>
        <v>Ø7 × 53</v>
      </c>
      <c r="J37" s="21">
        <f>'Tool blocks'!Z187</f>
        <v>53</v>
      </c>
      <c r="K37" s="21" t="str">
        <f>"n.a."</f>
        <v>n.a.</v>
      </c>
      <c r="L37" s="21" t="str">
        <f>"n.a."</f>
        <v>n.a.</v>
      </c>
      <c r="M37" s="21">
        <f>'Tool blocks'!X187</f>
        <v>7</v>
      </c>
      <c r="N37" s="21">
        <v>30</v>
      </c>
      <c r="O37" s="21">
        <v>15</v>
      </c>
      <c r="P37" s="21">
        <v>12</v>
      </c>
      <c r="Q37" s="21" t="s">
        <v>21</v>
      </c>
      <c r="R37" s="21">
        <v>3</v>
      </c>
      <c r="S37" s="23">
        <v>0.25</v>
      </c>
      <c r="T37" s="17" t="s">
        <v>29</v>
      </c>
      <c r="U37" s="17" t="s">
        <v>100</v>
      </c>
      <c r="V37" s="17" t="s">
        <v>101</v>
      </c>
    </row>
    <row r="38" spans="1:22" ht="52" customHeight="1">
      <c r="A38" s="17" t="s">
        <v>97</v>
      </c>
      <c r="B38" s="17" t="s">
        <v>98</v>
      </c>
      <c r="C38" s="22">
        <v>30</v>
      </c>
      <c r="D38" s="22">
        <v>15</v>
      </c>
      <c r="E38" s="22">
        <v>12</v>
      </c>
      <c r="F38" s="22">
        <v>3</v>
      </c>
      <c r="G38" s="17" t="s">
        <v>104</v>
      </c>
      <c r="H38" s="20">
        <f>'Tool blocks'!E188</f>
        <v>1</v>
      </c>
      <c r="I38" s="19" t="str">
        <f>IF(H38=0,"Purchased assembly",IF(T38="Round billet","Ø"&amp;M38&amp;" × "&amp;J38,J38&amp;" × "&amp;K38&amp;" × "&amp;L38))</f>
        <v>50 × 40 × 40</v>
      </c>
      <c r="J38" s="21">
        <f>'Tool blocks'!X188</f>
        <v>50</v>
      </c>
      <c r="K38" s="21">
        <f>'Tool blocks'!Y188</f>
        <v>40</v>
      </c>
      <c r="L38" s="21">
        <f>'Tool blocks'!Z188</f>
        <v>40</v>
      </c>
      <c r="M38" s="21" t="str">
        <f>"n.a."</f>
        <v>n.a.</v>
      </c>
      <c r="N38" s="21">
        <v>30</v>
      </c>
      <c r="O38" s="21">
        <v>15</v>
      </c>
      <c r="P38" s="21">
        <v>12</v>
      </c>
      <c r="Q38" s="21" t="s">
        <v>21</v>
      </c>
      <c r="R38" s="21">
        <v>3</v>
      </c>
      <c r="S38" s="23">
        <v>0.25</v>
      </c>
      <c r="T38" s="17" t="s">
        <v>22</v>
      </c>
      <c r="U38" s="17" t="s">
        <v>100</v>
      </c>
      <c r="V38" s="17" t="s">
        <v>101</v>
      </c>
    </row>
    <row r="39" spans="1:22" ht="52" customHeight="1">
      <c r="A39" s="17" t="s">
        <v>105</v>
      </c>
      <c r="B39" s="17" t="s">
        <v>106</v>
      </c>
      <c r="C39" s="22">
        <v>100</v>
      </c>
      <c r="D39" s="22">
        <v>100</v>
      </c>
      <c r="E39" s="22">
        <v>50</v>
      </c>
      <c r="F39" s="22">
        <v>2</v>
      </c>
      <c r="G39" s="17" t="s">
        <v>107</v>
      </c>
      <c r="H39" s="20">
        <f>'Tool blocks'!E209</f>
        <v>1</v>
      </c>
      <c r="I39" s="19" t="str">
        <f>IF(H39=0,"Purchased assembly",IF(T39="Round billet","Ø"&amp;M39&amp;" × "&amp;J39,J39&amp;" × "&amp;K39&amp;" × "&amp;L39))</f>
        <v>190 × 190 × 75</v>
      </c>
      <c r="J39" s="21">
        <f>'Tool blocks'!X209</f>
        <v>190</v>
      </c>
      <c r="K39" s="21">
        <f>'Tool blocks'!Y209</f>
        <v>190</v>
      </c>
      <c r="L39" s="21">
        <f>'Tool blocks'!Z209</f>
        <v>75</v>
      </c>
      <c r="M39" s="21" t="str">
        <f>"n.a."</f>
        <v>n.a.</v>
      </c>
      <c r="N39" s="21">
        <v>100</v>
      </c>
      <c r="O39" s="21">
        <v>100</v>
      </c>
      <c r="P39" s="21">
        <v>50</v>
      </c>
      <c r="Q39" s="21">
        <v>100</v>
      </c>
      <c r="R39" s="21">
        <v>2</v>
      </c>
      <c r="S39" s="23">
        <v>1</v>
      </c>
      <c r="T39" s="17" t="s">
        <v>22</v>
      </c>
      <c r="U39" s="17" t="s">
        <v>108</v>
      </c>
      <c r="V39" s="17" t="s">
        <v>109</v>
      </c>
    </row>
    <row r="40" spans="1:22" ht="52" customHeight="1">
      <c r="A40" s="17" t="s">
        <v>110</v>
      </c>
      <c r="B40" s="17" t="s">
        <v>27</v>
      </c>
      <c r="C40" s="22">
        <v>1000</v>
      </c>
      <c r="D40" s="22">
        <v>40</v>
      </c>
      <c r="E40" s="22">
        <v>40</v>
      </c>
      <c r="F40" s="22">
        <v>3</v>
      </c>
      <c r="G40" s="17" t="s">
        <v>111</v>
      </c>
      <c r="H40" s="20">
        <f>'Tool blocks'!E215</f>
        <v>2</v>
      </c>
      <c r="I40" s="19" t="str">
        <f>IF(H40=0,"Purchased assembly",IF(T40="Round billet","Ø"&amp;M40&amp;" × "&amp;J40,J40&amp;" × "&amp;K40&amp;" × "&amp;L40))</f>
        <v>570 × 110 × 60</v>
      </c>
      <c r="J40" s="21">
        <f>'Tool blocks'!X215</f>
        <v>570</v>
      </c>
      <c r="K40" s="21">
        <f>'Tool blocks'!Y215</f>
        <v>110</v>
      </c>
      <c r="L40" s="21">
        <f>'Tool blocks'!Z215</f>
        <v>60</v>
      </c>
      <c r="M40" s="21" t="str">
        <f>"n.a."</f>
        <v>n.a.</v>
      </c>
      <c r="N40" s="21">
        <v>1000</v>
      </c>
      <c r="O40" s="21">
        <v>40</v>
      </c>
      <c r="P40" s="21">
        <v>40</v>
      </c>
      <c r="Q40" s="21" t="s">
        <v>21</v>
      </c>
      <c r="R40" s="21">
        <v>3</v>
      </c>
      <c r="S40" s="23">
        <v>0.66666666666666596</v>
      </c>
      <c r="T40" s="17" t="s">
        <v>22</v>
      </c>
      <c r="U40" s="17" t="s">
        <v>112</v>
      </c>
      <c r="V40" s="17" t="s">
        <v>113</v>
      </c>
    </row>
    <row r="41" spans="1:22" ht="52" customHeight="1">
      <c r="A41" s="17" t="s">
        <v>110</v>
      </c>
      <c r="B41" s="17" t="s">
        <v>27</v>
      </c>
      <c r="C41" s="22">
        <v>1000</v>
      </c>
      <c r="D41" s="22">
        <v>40</v>
      </c>
      <c r="E41" s="22">
        <v>40</v>
      </c>
      <c r="F41" s="22">
        <v>3</v>
      </c>
      <c r="G41" s="17" t="s">
        <v>114</v>
      </c>
      <c r="H41" s="20">
        <f>'Tool blocks'!E216</f>
        <v>1</v>
      </c>
      <c r="I41" s="19" t="str">
        <f>IF(H41=0,"Purchased assembly",IF(T41="Round billet","Ø"&amp;M41&amp;" × "&amp;J41,J41&amp;" × "&amp;K41&amp;" × "&amp;L41))</f>
        <v>660 × 40 × 40</v>
      </c>
      <c r="J41" s="21">
        <f>'Tool blocks'!X216</f>
        <v>660</v>
      </c>
      <c r="K41" s="21">
        <f>'Tool blocks'!Y216</f>
        <v>40</v>
      </c>
      <c r="L41" s="21">
        <f>'Tool blocks'!Z216</f>
        <v>40</v>
      </c>
      <c r="M41" s="21" t="str">
        <f>"n.a."</f>
        <v>n.a.</v>
      </c>
      <c r="N41" s="21">
        <v>1000</v>
      </c>
      <c r="O41" s="21">
        <v>40</v>
      </c>
      <c r="P41" s="21">
        <v>40</v>
      </c>
      <c r="Q41" s="21" t="s">
        <v>21</v>
      </c>
      <c r="R41" s="21">
        <v>3</v>
      </c>
      <c r="S41" s="23">
        <v>0.33333333333333298</v>
      </c>
      <c r="T41" s="17" t="s">
        <v>22</v>
      </c>
      <c r="U41" s="17" t="s">
        <v>112</v>
      </c>
      <c r="V41" s="17" t="s">
        <v>113</v>
      </c>
    </row>
    <row r="42" spans="1:22" ht="52" customHeight="1">
      <c r="A42" s="17" t="s">
        <v>115</v>
      </c>
      <c r="B42" s="17" t="s">
        <v>116</v>
      </c>
      <c r="C42" s="22">
        <v>100</v>
      </c>
      <c r="D42" s="22">
        <v>100</v>
      </c>
      <c r="E42" s="22">
        <v>2</v>
      </c>
      <c r="F42" s="22">
        <v>2</v>
      </c>
      <c r="G42" s="17" t="s">
        <v>117</v>
      </c>
      <c r="H42" s="20">
        <f>'Tool blocks'!E227</f>
        <v>1</v>
      </c>
      <c r="I42" s="19" t="str">
        <f>IF(H42=0,"Purchased assembly",IF(T42="Round billet","Ø"&amp;M42&amp;" × "&amp;J42,J42&amp;" × "&amp;K42&amp;" × "&amp;L42))</f>
        <v>Ø110 × 70</v>
      </c>
      <c r="J42" s="21">
        <f>'Tool blocks'!Z227</f>
        <v>70</v>
      </c>
      <c r="K42" s="21" t="str">
        <f>"n.a."</f>
        <v>n.a.</v>
      </c>
      <c r="L42" s="21" t="str">
        <f>"n.a."</f>
        <v>n.a.</v>
      </c>
      <c r="M42" s="21">
        <f>'Tool blocks'!X227</f>
        <v>110</v>
      </c>
      <c r="N42" s="21">
        <v>100</v>
      </c>
      <c r="O42" s="21">
        <v>100</v>
      </c>
      <c r="P42" s="21">
        <v>2</v>
      </c>
      <c r="Q42" s="21">
        <v>100</v>
      </c>
      <c r="R42" s="21">
        <v>2</v>
      </c>
      <c r="S42" s="23">
        <v>0.33333333333333298</v>
      </c>
      <c r="T42" s="17" t="s">
        <v>29</v>
      </c>
      <c r="U42" s="17" t="s">
        <v>23</v>
      </c>
      <c r="V42" s="17" t="s">
        <v>118</v>
      </c>
    </row>
    <row r="43" spans="1:22" ht="52" customHeight="1">
      <c r="A43" s="17" t="s">
        <v>115</v>
      </c>
      <c r="B43" s="17" t="s">
        <v>116</v>
      </c>
      <c r="C43" s="22">
        <v>100</v>
      </c>
      <c r="D43" s="22">
        <v>100</v>
      </c>
      <c r="E43" s="22">
        <v>2</v>
      </c>
      <c r="F43" s="22">
        <v>2</v>
      </c>
      <c r="G43" s="17" t="s">
        <v>119</v>
      </c>
      <c r="H43" s="20">
        <f>'Tool blocks'!E228</f>
        <v>1</v>
      </c>
      <c r="I43" s="19" t="str">
        <f>IF(H43=0,"Purchased assembly",IF(T43="Round billet","Ø"&amp;M43&amp;" × "&amp;J43,J43&amp;" × "&amp;K43&amp;" × "&amp;L43))</f>
        <v>170 × 170 × 40</v>
      </c>
      <c r="J43" s="21">
        <f>'Tool blocks'!X228</f>
        <v>170</v>
      </c>
      <c r="K43" s="21">
        <f>'Tool blocks'!Y228</f>
        <v>170</v>
      </c>
      <c r="L43" s="21">
        <f>'Tool blocks'!Z228</f>
        <v>40</v>
      </c>
      <c r="M43" s="21" t="str">
        <f>"n.a."</f>
        <v>n.a.</v>
      </c>
      <c r="N43" s="21">
        <v>100</v>
      </c>
      <c r="O43" s="21">
        <v>100</v>
      </c>
      <c r="P43" s="21">
        <v>2</v>
      </c>
      <c r="Q43" s="21">
        <v>100</v>
      </c>
      <c r="R43" s="21">
        <v>2</v>
      </c>
      <c r="S43" s="23">
        <v>0.33333333333333298</v>
      </c>
      <c r="T43" s="17" t="s">
        <v>22</v>
      </c>
      <c r="U43" s="17" t="s">
        <v>23</v>
      </c>
      <c r="V43" s="17" t="s">
        <v>118</v>
      </c>
    </row>
    <row r="44" spans="1:22" ht="52" customHeight="1">
      <c r="A44" s="17" t="s">
        <v>115</v>
      </c>
      <c r="B44" s="17" t="s">
        <v>116</v>
      </c>
      <c r="C44" s="22">
        <v>100</v>
      </c>
      <c r="D44" s="22">
        <v>100</v>
      </c>
      <c r="E44" s="22">
        <v>2</v>
      </c>
      <c r="F44" s="22">
        <v>2</v>
      </c>
      <c r="G44" s="17" t="s">
        <v>120</v>
      </c>
      <c r="H44" s="20">
        <f>'Tool blocks'!E229</f>
        <v>1</v>
      </c>
      <c r="I44" s="19" t="str">
        <f>IF(H44=0,"Purchased assembly",IF(T44="Round billet","Ø"&amp;M44&amp;" × "&amp;J44,J44&amp;" × "&amp;K44&amp;" × "&amp;L44))</f>
        <v>180 × 180 × 30</v>
      </c>
      <c r="J44" s="21">
        <f>'Tool blocks'!X229</f>
        <v>180</v>
      </c>
      <c r="K44" s="21">
        <f>'Tool blocks'!Y229</f>
        <v>180</v>
      </c>
      <c r="L44" s="21">
        <f>'Tool blocks'!Z229</f>
        <v>30</v>
      </c>
      <c r="M44" s="21" t="str">
        <f>"n.a."</f>
        <v>n.a.</v>
      </c>
      <c r="N44" s="21">
        <v>100</v>
      </c>
      <c r="O44" s="21">
        <v>100</v>
      </c>
      <c r="P44" s="21">
        <v>2</v>
      </c>
      <c r="Q44" s="21">
        <v>100</v>
      </c>
      <c r="R44" s="21">
        <v>2</v>
      </c>
      <c r="S44" s="23">
        <v>0.33333333333333298</v>
      </c>
      <c r="T44" s="17" t="s">
        <v>22</v>
      </c>
      <c r="U44" s="17" t="s">
        <v>23</v>
      </c>
      <c r="V44" s="17" t="s">
        <v>118</v>
      </c>
    </row>
    <row r="45" spans="1:22" ht="52" customHeight="1">
      <c r="A45" s="17" t="s">
        <v>121</v>
      </c>
      <c r="B45" s="17" t="s">
        <v>122</v>
      </c>
      <c r="C45" s="22">
        <v>100</v>
      </c>
      <c r="D45" s="22">
        <v>100</v>
      </c>
      <c r="E45" s="22">
        <v>5</v>
      </c>
      <c r="F45" s="22">
        <v>5</v>
      </c>
      <c r="G45" s="17" t="s">
        <v>123</v>
      </c>
      <c r="H45" s="20">
        <f>'Tool blocks'!E245</f>
        <v>1</v>
      </c>
      <c r="I45" s="19" t="str">
        <f>IF(H45=0,"Purchased assembly",IF(T45="Round billet","Ø"&amp;M45&amp;" × "&amp;J45,J45&amp;" × "&amp;K45&amp;" × "&amp;L45))</f>
        <v>Ø110 × 80</v>
      </c>
      <c r="J45" s="21">
        <f>'Tool blocks'!Z245</f>
        <v>80</v>
      </c>
      <c r="K45" s="21" t="str">
        <f>"n.a."</f>
        <v>n.a.</v>
      </c>
      <c r="L45" s="21" t="str">
        <f>"n.a."</f>
        <v>n.a.</v>
      </c>
      <c r="M45" s="21">
        <f>'Tool blocks'!X245</f>
        <v>110</v>
      </c>
      <c r="N45" s="21">
        <v>100</v>
      </c>
      <c r="O45" s="21">
        <v>100</v>
      </c>
      <c r="P45" s="21">
        <v>5</v>
      </c>
      <c r="Q45" s="21">
        <v>100</v>
      </c>
      <c r="R45" s="21">
        <v>5</v>
      </c>
      <c r="S45" s="23">
        <v>0.2</v>
      </c>
      <c r="T45" s="17" t="s">
        <v>29</v>
      </c>
      <c r="U45" s="17" t="s">
        <v>124</v>
      </c>
      <c r="V45" s="17" t="s">
        <v>125</v>
      </c>
    </row>
    <row r="46" spans="1:22" ht="52" customHeight="1">
      <c r="A46" s="17" t="s">
        <v>121</v>
      </c>
      <c r="B46" s="17" t="s">
        <v>122</v>
      </c>
      <c r="C46" s="22">
        <v>100</v>
      </c>
      <c r="D46" s="22">
        <v>100</v>
      </c>
      <c r="E46" s="22">
        <v>5</v>
      </c>
      <c r="F46" s="22">
        <v>5</v>
      </c>
      <c r="G46" s="17" t="s">
        <v>126</v>
      </c>
      <c r="H46" s="20">
        <f>'Tool blocks'!E246</f>
        <v>1</v>
      </c>
      <c r="I46" s="19" t="str">
        <f>IF(H46=0,"Purchased assembly",IF(T46="Round billet","Ø"&amp;M46&amp;" × "&amp;J46,J46&amp;" × "&amp;K46&amp;" × "&amp;L46))</f>
        <v>170 × 170 × 60</v>
      </c>
      <c r="J46" s="21">
        <f>'Tool blocks'!X246</f>
        <v>170</v>
      </c>
      <c r="K46" s="21">
        <f>'Tool blocks'!Y246</f>
        <v>170</v>
      </c>
      <c r="L46" s="21">
        <f>'Tool blocks'!Z246</f>
        <v>60</v>
      </c>
      <c r="M46" s="21" t="str">
        <f>"n.a."</f>
        <v>n.a.</v>
      </c>
      <c r="N46" s="21">
        <v>100</v>
      </c>
      <c r="O46" s="21">
        <v>100</v>
      </c>
      <c r="P46" s="21">
        <v>5</v>
      </c>
      <c r="Q46" s="21">
        <v>100</v>
      </c>
      <c r="R46" s="21">
        <v>5</v>
      </c>
      <c r="S46" s="23">
        <v>0.2</v>
      </c>
      <c r="T46" s="17" t="s">
        <v>22</v>
      </c>
      <c r="U46" s="17" t="s">
        <v>124</v>
      </c>
      <c r="V46" s="17" t="s">
        <v>125</v>
      </c>
    </row>
    <row r="47" spans="1:22" ht="52" customHeight="1">
      <c r="A47" s="17" t="s">
        <v>121</v>
      </c>
      <c r="B47" s="17" t="s">
        <v>122</v>
      </c>
      <c r="C47" s="22">
        <v>100</v>
      </c>
      <c r="D47" s="22">
        <v>100</v>
      </c>
      <c r="E47" s="22">
        <v>5</v>
      </c>
      <c r="F47" s="22">
        <v>5</v>
      </c>
      <c r="G47" s="17" t="s">
        <v>127</v>
      </c>
      <c r="H47" s="20">
        <f>'Tool blocks'!E247</f>
        <v>1</v>
      </c>
      <c r="I47" s="19" t="str">
        <f>IF(H47=0,"Purchased assembly",IF(T47="Round billet","Ø"&amp;M47&amp;" × "&amp;J47,J47&amp;" × "&amp;K47&amp;" × "&amp;L47))</f>
        <v>Ø110 × 70</v>
      </c>
      <c r="J47" s="21">
        <f>'Tool blocks'!Z247</f>
        <v>70</v>
      </c>
      <c r="K47" s="21" t="str">
        <f>"n.a."</f>
        <v>n.a.</v>
      </c>
      <c r="L47" s="21" t="str">
        <f>"n.a."</f>
        <v>n.a.</v>
      </c>
      <c r="M47" s="21">
        <f>'Tool blocks'!X247</f>
        <v>110</v>
      </c>
      <c r="N47" s="21">
        <v>100</v>
      </c>
      <c r="O47" s="21">
        <v>100</v>
      </c>
      <c r="P47" s="21">
        <v>5</v>
      </c>
      <c r="Q47" s="21">
        <v>100</v>
      </c>
      <c r="R47" s="21">
        <v>5</v>
      </c>
      <c r="S47" s="23">
        <v>0.2</v>
      </c>
      <c r="T47" s="17" t="s">
        <v>29</v>
      </c>
      <c r="U47" s="17" t="s">
        <v>124</v>
      </c>
      <c r="V47" s="17" t="s">
        <v>125</v>
      </c>
    </row>
    <row r="48" spans="1:22" ht="52" customHeight="1">
      <c r="A48" s="17" t="s">
        <v>121</v>
      </c>
      <c r="B48" s="17" t="s">
        <v>122</v>
      </c>
      <c r="C48" s="22">
        <v>100</v>
      </c>
      <c r="D48" s="22">
        <v>100</v>
      </c>
      <c r="E48" s="22">
        <v>5</v>
      </c>
      <c r="F48" s="22">
        <v>5</v>
      </c>
      <c r="G48" s="17" t="s">
        <v>128</v>
      </c>
      <c r="H48" s="20">
        <f>'Tool blocks'!E248</f>
        <v>1</v>
      </c>
      <c r="I48" s="19" t="str">
        <f>IF(H48=0,"Purchased assembly",IF(T48="Round billet","Ø"&amp;M48&amp;" × "&amp;J48,J48&amp;" × "&amp;K48&amp;" × "&amp;L48))</f>
        <v>Ø30 × 80</v>
      </c>
      <c r="J48" s="21">
        <f>'Tool blocks'!Z248</f>
        <v>80</v>
      </c>
      <c r="K48" s="21" t="str">
        <f>"n.a."</f>
        <v>n.a.</v>
      </c>
      <c r="L48" s="21" t="str">
        <f>"n.a."</f>
        <v>n.a.</v>
      </c>
      <c r="M48" s="21">
        <f>'Tool blocks'!X248</f>
        <v>30</v>
      </c>
      <c r="N48" s="21">
        <v>100</v>
      </c>
      <c r="O48" s="21">
        <v>100</v>
      </c>
      <c r="P48" s="21">
        <v>5</v>
      </c>
      <c r="Q48" s="21">
        <v>100</v>
      </c>
      <c r="R48" s="21">
        <v>5</v>
      </c>
      <c r="S48" s="23">
        <v>0.2</v>
      </c>
      <c r="T48" s="17" t="s">
        <v>29</v>
      </c>
      <c r="U48" s="17" t="s">
        <v>124</v>
      </c>
      <c r="V48" s="17" t="s">
        <v>125</v>
      </c>
    </row>
    <row r="49" spans="1:22" ht="52" customHeight="1">
      <c r="A49" s="17" t="s">
        <v>121</v>
      </c>
      <c r="B49" s="17" t="s">
        <v>122</v>
      </c>
      <c r="C49" s="22">
        <v>100</v>
      </c>
      <c r="D49" s="22">
        <v>100</v>
      </c>
      <c r="E49" s="22">
        <v>5</v>
      </c>
      <c r="F49" s="22">
        <v>5</v>
      </c>
      <c r="G49" s="17" t="s">
        <v>129</v>
      </c>
      <c r="H49" s="20">
        <f>'Tool blocks'!E249</f>
        <v>1</v>
      </c>
      <c r="I49" s="19" t="str">
        <f>IF(H49=0,"Purchased assembly",IF(T49="Round billet","Ø"&amp;M49&amp;" × "&amp;J49,J49&amp;" × "&amp;K49&amp;" × "&amp;L49))</f>
        <v>180 × 180 × 50</v>
      </c>
      <c r="J49" s="21">
        <f>'Tool blocks'!X249</f>
        <v>180</v>
      </c>
      <c r="K49" s="21">
        <f>'Tool blocks'!Y249</f>
        <v>180</v>
      </c>
      <c r="L49" s="21">
        <f>'Tool blocks'!Z249</f>
        <v>50</v>
      </c>
      <c r="M49" s="21" t="str">
        <f t="shared" ref="M49:M55" si="4">"n.a."</f>
        <v>n.a.</v>
      </c>
      <c r="N49" s="21">
        <v>100</v>
      </c>
      <c r="O49" s="21">
        <v>100</v>
      </c>
      <c r="P49" s="21">
        <v>5</v>
      </c>
      <c r="Q49" s="21">
        <v>100</v>
      </c>
      <c r="R49" s="21">
        <v>5</v>
      </c>
      <c r="S49" s="23">
        <v>0.2</v>
      </c>
      <c r="T49" s="17" t="s">
        <v>22</v>
      </c>
      <c r="U49" s="17" t="s">
        <v>124</v>
      </c>
      <c r="V49" s="17" t="s">
        <v>125</v>
      </c>
    </row>
    <row r="50" spans="1:22" ht="52" customHeight="1">
      <c r="A50" s="17" t="s">
        <v>130</v>
      </c>
      <c r="B50" s="17" t="s">
        <v>131</v>
      </c>
      <c r="C50" s="22">
        <v>60</v>
      </c>
      <c r="D50" s="22">
        <v>40</v>
      </c>
      <c r="E50" s="22">
        <v>20</v>
      </c>
      <c r="F50" s="22">
        <v>1</v>
      </c>
      <c r="G50" s="17" t="s">
        <v>132</v>
      </c>
      <c r="H50" s="20">
        <f>'Tool blocks'!E275</f>
        <v>1</v>
      </c>
      <c r="I50" s="19" t="str">
        <f>IF(H50=0,"Purchased assembly",IF(T50="Round billet","Ø"&amp;M50&amp;" × "&amp;J50,J50&amp;" × "&amp;K50&amp;" × "&amp;L50))</f>
        <v>370 × 200 × 50</v>
      </c>
      <c r="J50" s="21">
        <f>'Tool blocks'!X275</f>
        <v>370</v>
      </c>
      <c r="K50" s="21">
        <f>'Tool blocks'!Y275</f>
        <v>200</v>
      </c>
      <c r="L50" s="21">
        <f>'Tool blocks'!Z275</f>
        <v>50</v>
      </c>
      <c r="M50" s="21" t="str">
        <f t="shared" si="4"/>
        <v>n.a.</v>
      </c>
      <c r="N50" s="21">
        <v>60</v>
      </c>
      <c r="O50" s="21">
        <v>40</v>
      </c>
      <c r="P50" s="21">
        <v>20</v>
      </c>
      <c r="Q50" s="21" t="s">
        <v>21</v>
      </c>
      <c r="R50" s="21">
        <v>1</v>
      </c>
      <c r="S50" s="23">
        <v>0.1</v>
      </c>
      <c r="T50" s="17" t="s">
        <v>22</v>
      </c>
      <c r="U50" s="17" t="s">
        <v>23</v>
      </c>
      <c r="V50" s="17" t="s">
        <v>133</v>
      </c>
    </row>
    <row r="51" spans="1:22" ht="52" customHeight="1">
      <c r="A51" s="17" t="s">
        <v>130</v>
      </c>
      <c r="B51" s="17" t="s">
        <v>131</v>
      </c>
      <c r="C51" s="22">
        <v>60</v>
      </c>
      <c r="D51" s="22">
        <v>40</v>
      </c>
      <c r="E51" s="22">
        <v>20</v>
      </c>
      <c r="F51" s="22">
        <v>1</v>
      </c>
      <c r="G51" s="17" t="s">
        <v>134</v>
      </c>
      <c r="H51" s="20">
        <f>'Tool blocks'!E276</f>
        <v>1</v>
      </c>
      <c r="I51" s="19" t="str">
        <f>IF(H51=0,"Purchased assembly",IF(T51="Round billet","Ø"&amp;M51&amp;" × "&amp;J51,J51&amp;" × "&amp;K51&amp;" × "&amp;L51))</f>
        <v>370 × 200 × 60</v>
      </c>
      <c r="J51" s="21">
        <f>'Tool blocks'!X276</f>
        <v>370</v>
      </c>
      <c r="K51" s="21">
        <f>'Tool blocks'!Y276</f>
        <v>200</v>
      </c>
      <c r="L51" s="21">
        <f>'Tool blocks'!Z276</f>
        <v>60</v>
      </c>
      <c r="M51" s="21" t="str">
        <f t="shared" si="4"/>
        <v>n.a.</v>
      </c>
      <c r="N51" s="21">
        <v>60</v>
      </c>
      <c r="O51" s="21">
        <v>40</v>
      </c>
      <c r="P51" s="21">
        <v>20</v>
      </c>
      <c r="Q51" s="21" t="s">
        <v>21</v>
      </c>
      <c r="R51" s="21">
        <v>1</v>
      </c>
      <c r="S51" s="23">
        <v>0.1</v>
      </c>
      <c r="T51" s="17" t="s">
        <v>22</v>
      </c>
      <c r="U51" s="17" t="s">
        <v>23</v>
      </c>
      <c r="V51" s="17" t="s">
        <v>133</v>
      </c>
    </row>
    <row r="52" spans="1:22" ht="52" customHeight="1">
      <c r="A52" s="17" t="s">
        <v>130</v>
      </c>
      <c r="B52" s="17" t="s">
        <v>131</v>
      </c>
      <c r="C52" s="22">
        <v>60</v>
      </c>
      <c r="D52" s="22">
        <v>40</v>
      </c>
      <c r="E52" s="22">
        <v>20</v>
      </c>
      <c r="F52" s="22">
        <v>1</v>
      </c>
      <c r="G52" s="17" t="s">
        <v>135</v>
      </c>
      <c r="H52" s="20">
        <f>'Tool blocks'!E277</f>
        <v>1</v>
      </c>
      <c r="I52" s="19" t="str">
        <f>IF(H52=0,"Purchased assembly",IF(T52="Round billet","Ø"&amp;M52&amp;" × "&amp;J52,J52&amp;" × "&amp;K52&amp;" × "&amp;L52))</f>
        <v>80 × 100 × 60</v>
      </c>
      <c r="J52" s="21">
        <f>'Tool blocks'!X277</f>
        <v>80</v>
      </c>
      <c r="K52" s="21">
        <f>'Tool blocks'!Y277</f>
        <v>100</v>
      </c>
      <c r="L52" s="21">
        <f>'Tool blocks'!Z277</f>
        <v>60</v>
      </c>
      <c r="M52" s="21" t="str">
        <f t="shared" si="4"/>
        <v>n.a.</v>
      </c>
      <c r="N52" s="21">
        <v>60</v>
      </c>
      <c r="O52" s="21">
        <v>40</v>
      </c>
      <c r="P52" s="21">
        <v>20</v>
      </c>
      <c r="Q52" s="21" t="s">
        <v>21</v>
      </c>
      <c r="R52" s="21">
        <v>1</v>
      </c>
      <c r="S52" s="23">
        <v>0.1</v>
      </c>
      <c r="T52" s="17" t="s">
        <v>22</v>
      </c>
      <c r="U52" s="17" t="s">
        <v>23</v>
      </c>
      <c r="V52" s="17" t="s">
        <v>133</v>
      </c>
    </row>
    <row r="53" spans="1:22" ht="52" customHeight="1">
      <c r="A53" s="17" t="s">
        <v>130</v>
      </c>
      <c r="B53" s="17" t="s">
        <v>131</v>
      </c>
      <c r="C53" s="22">
        <v>60</v>
      </c>
      <c r="D53" s="22">
        <v>40</v>
      </c>
      <c r="E53" s="22">
        <v>20</v>
      </c>
      <c r="F53" s="22">
        <v>1</v>
      </c>
      <c r="G53" s="17" t="s">
        <v>136</v>
      </c>
      <c r="H53" s="20">
        <f>'Tool blocks'!E278</f>
        <v>1</v>
      </c>
      <c r="I53" s="19" t="str">
        <f>IF(H53=0,"Purchased assembly",IF(T53="Round billet","Ø"&amp;M53&amp;" × "&amp;J53,J53&amp;" × "&amp;K53&amp;" × "&amp;L53))</f>
        <v>100 × 120 × 40</v>
      </c>
      <c r="J53" s="21">
        <f>'Tool blocks'!X278</f>
        <v>100</v>
      </c>
      <c r="K53" s="21">
        <f>'Tool blocks'!Y278</f>
        <v>120</v>
      </c>
      <c r="L53" s="21">
        <f>'Tool blocks'!Z278</f>
        <v>40</v>
      </c>
      <c r="M53" s="21" t="str">
        <f t="shared" si="4"/>
        <v>n.a.</v>
      </c>
      <c r="N53" s="21">
        <v>60</v>
      </c>
      <c r="O53" s="21">
        <v>40</v>
      </c>
      <c r="P53" s="21">
        <v>20</v>
      </c>
      <c r="Q53" s="21" t="s">
        <v>21</v>
      </c>
      <c r="R53" s="21">
        <v>1</v>
      </c>
      <c r="S53" s="23">
        <v>0.1</v>
      </c>
      <c r="T53" s="17" t="s">
        <v>22</v>
      </c>
      <c r="U53" s="17" t="s">
        <v>23</v>
      </c>
      <c r="V53" s="17" t="s">
        <v>133</v>
      </c>
    </row>
    <row r="54" spans="1:22" ht="52" customHeight="1">
      <c r="A54" s="17" t="s">
        <v>130</v>
      </c>
      <c r="B54" s="17" t="s">
        <v>131</v>
      </c>
      <c r="C54" s="22">
        <v>60</v>
      </c>
      <c r="D54" s="22">
        <v>40</v>
      </c>
      <c r="E54" s="22">
        <v>20</v>
      </c>
      <c r="F54" s="22">
        <v>1</v>
      </c>
      <c r="G54" s="17" t="s">
        <v>20</v>
      </c>
      <c r="H54" s="20">
        <f>'Tool blocks'!E279</f>
        <v>2</v>
      </c>
      <c r="I54" s="19" t="str">
        <f>IF(H54=0,"Purchased assembly",IF(T54="Round billet","Ø"&amp;M54&amp;" × "&amp;J54,J54&amp;" × "&amp;K54&amp;" × "&amp;L54))</f>
        <v>80 × 60 × 60</v>
      </c>
      <c r="J54" s="21">
        <f>'Tool blocks'!X279</f>
        <v>80</v>
      </c>
      <c r="K54" s="21">
        <f>'Tool blocks'!Y279</f>
        <v>60</v>
      </c>
      <c r="L54" s="21">
        <f>'Tool blocks'!Z279</f>
        <v>60</v>
      </c>
      <c r="M54" s="21" t="str">
        <f t="shared" si="4"/>
        <v>n.a.</v>
      </c>
      <c r="N54" s="21">
        <v>60</v>
      </c>
      <c r="O54" s="21">
        <v>40</v>
      </c>
      <c r="P54" s="21">
        <v>20</v>
      </c>
      <c r="Q54" s="21" t="s">
        <v>21</v>
      </c>
      <c r="R54" s="21">
        <v>1</v>
      </c>
      <c r="S54" s="23">
        <v>0.2</v>
      </c>
      <c r="T54" s="17" t="s">
        <v>22</v>
      </c>
      <c r="U54" s="17" t="s">
        <v>23</v>
      </c>
      <c r="V54" s="17" t="s">
        <v>133</v>
      </c>
    </row>
    <row r="55" spans="1:22" ht="52" customHeight="1">
      <c r="A55" s="17" t="s">
        <v>130</v>
      </c>
      <c r="B55" s="17" t="s">
        <v>131</v>
      </c>
      <c r="C55" s="22">
        <v>60</v>
      </c>
      <c r="D55" s="22">
        <v>40</v>
      </c>
      <c r="E55" s="22">
        <v>20</v>
      </c>
      <c r="F55" s="22">
        <v>1</v>
      </c>
      <c r="G55" s="17" t="s">
        <v>137</v>
      </c>
      <c r="H55" s="20">
        <f>'Tool blocks'!E280</f>
        <v>2</v>
      </c>
      <c r="I55" s="19" t="str">
        <f>IF(H55=0,"Purchased assembly",IF(T55="Round billet","Ø"&amp;M55&amp;" × "&amp;J55,J55&amp;" × "&amp;K55&amp;" × "&amp;L55))</f>
        <v>90 × 70 × 50</v>
      </c>
      <c r="J55" s="21">
        <f>'Tool blocks'!X280</f>
        <v>90</v>
      </c>
      <c r="K55" s="21">
        <f>'Tool blocks'!Y280</f>
        <v>70</v>
      </c>
      <c r="L55" s="21">
        <f>'Tool blocks'!Z280</f>
        <v>50</v>
      </c>
      <c r="M55" s="21" t="str">
        <f t="shared" si="4"/>
        <v>n.a.</v>
      </c>
      <c r="N55" s="21">
        <v>60</v>
      </c>
      <c r="O55" s="21">
        <v>40</v>
      </c>
      <c r="P55" s="21">
        <v>20</v>
      </c>
      <c r="Q55" s="21" t="s">
        <v>21</v>
      </c>
      <c r="R55" s="21">
        <v>1</v>
      </c>
      <c r="S55" s="23">
        <v>0.2</v>
      </c>
      <c r="T55" s="17" t="s">
        <v>22</v>
      </c>
      <c r="U55" s="17" t="s">
        <v>23</v>
      </c>
      <c r="V55" s="17" t="s">
        <v>133</v>
      </c>
    </row>
    <row r="56" spans="1:22" ht="52" customHeight="1">
      <c r="A56" s="17" t="s">
        <v>130</v>
      </c>
      <c r="B56" s="17" t="s">
        <v>131</v>
      </c>
      <c r="C56" s="22">
        <v>60</v>
      </c>
      <c r="D56" s="22">
        <v>40</v>
      </c>
      <c r="E56" s="22">
        <v>20</v>
      </c>
      <c r="F56" s="22">
        <v>1</v>
      </c>
      <c r="G56" s="17" t="s">
        <v>138</v>
      </c>
      <c r="H56" s="20">
        <f>'Tool blocks'!E281</f>
        <v>2</v>
      </c>
      <c r="I56" s="19" t="str">
        <f>IF(H56=0,"Purchased assembly",IF(T56="Round billet","Ø"&amp;M56&amp;" × "&amp;J56,J56&amp;" × "&amp;K56&amp;" × "&amp;L56))</f>
        <v>Ø8 × 62</v>
      </c>
      <c r="J56" s="21">
        <f>'Tool blocks'!Z281</f>
        <v>62</v>
      </c>
      <c r="K56" s="21" t="str">
        <f>"n.a."</f>
        <v>n.a.</v>
      </c>
      <c r="L56" s="21" t="str">
        <f>"n.a."</f>
        <v>n.a.</v>
      </c>
      <c r="M56" s="21">
        <f>'Tool blocks'!X281</f>
        <v>8</v>
      </c>
      <c r="N56" s="21">
        <v>60</v>
      </c>
      <c r="O56" s="21">
        <v>40</v>
      </c>
      <c r="P56" s="21">
        <v>20</v>
      </c>
      <c r="Q56" s="21" t="s">
        <v>21</v>
      </c>
      <c r="R56" s="21">
        <v>1</v>
      </c>
      <c r="S56" s="23">
        <v>0.2</v>
      </c>
      <c r="T56" s="17" t="s">
        <v>29</v>
      </c>
      <c r="U56" s="17" t="s">
        <v>23</v>
      </c>
      <c r="V56" s="17" t="s">
        <v>133</v>
      </c>
    </row>
    <row r="57" spans="1:22" ht="52" customHeight="1">
      <c r="A57" s="17" t="s">
        <v>139</v>
      </c>
      <c r="B57" s="17" t="s">
        <v>140</v>
      </c>
      <c r="C57" s="22">
        <v>150</v>
      </c>
      <c r="D57" s="22">
        <v>40</v>
      </c>
      <c r="E57" s="22">
        <v>40</v>
      </c>
      <c r="F57" s="22">
        <v>1.5</v>
      </c>
      <c r="G57" s="17" t="s">
        <v>141</v>
      </c>
      <c r="H57" s="20">
        <f>'Tool blocks'!E317</f>
        <v>2</v>
      </c>
      <c r="I57" s="19" t="str">
        <f>IF(H57=0,"Purchased assembly",IF(T57="Round billet","Ø"&amp;M57&amp;" × "&amp;J57,J57&amp;" × "&amp;K57&amp;" × "&amp;L57))</f>
        <v>240 × 130 × 70</v>
      </c>
      <c r="J57" s="21">
        <f>'Tool blocks'!X317</f>
        <v>240</v>
      </c>
      <c r="K57" s="21">
        <f>'Tool blocks'!Y317</f>
        <v>130</v>
      </c>
      <c r="L57" s="21">
        <f>'Tool blocks'!Z317</f>
        <v>70</v>
      </c>
      <c r="M57" s="21" t="str">
        <f>"n.a."</f>
        <v>n.a.</v>
      </c>
      <c r="N57" s="21">
        <v>150</v>
      </c>
      <c r="O57" s="21">
        <v>40</v>
      </c>
      <c r="P57" s="21">
        <v>40</v>
      </c>
      <c r="Q57" s="21">
        <v>40</v>
      </c>
      <c r="R57" s="21">
        <v>1.5</v>
      </c>
      <c r="S57" s="23">
        <v>0.5</v>
      </c>
      <c r="T57" s="17" t="s">
        <v>22</v>
      </c>
      <c r="U57" s="17" t="s">
        <v>142</v>
      </c>
      <c r="V57" s="17" t="s">
        <v>143</v>
      </c>
    </row>
    <row r="58" spans="1:22" ht="52" customHeight="1">
      <c r="A58" s="17" t="s">
        <v>139</v>
      </c>
      <c r="B58" s="17" t="s">
        <v>140</v>
      </c>
      <c r="C58" s="22">
        <v>150</v>
      </c>
      <c r="D58" s="22">
        <v>40</v>
      </c>
      <c r="E58" s="22">
        <v>40</v>
      </c>
      <c r="F58" s="22">
        <v>1.5</v>
      </c>
      <c r="G58" s="17" t="s">
        <v>144</v>
      </c>
      <c r="H58" s="20">
        <f>'Tool blocks'!E318</f>
        <v>2</v>
      </c>
      <c r="I58" s="19" t="str">
        <f>IF(H58=0,"Purchased assembly",IF(T58="Round billet","Ø"&amp;M58&amp;" × "&amp;J58,J58&amp;" × "&amp;K58&amp;" × "&amp;L58))</f>
        <v>Ø40 × 110</v>
      </c>
      <c r="J58" s="21">
        <f>'Tool blocks'!Z318</f>
        <v>110</v>
      </c>
      <c r="K58" s="21" t="str">
        <f>"n.a."</f>
        <v>n.a.</v>
      </c>
      <c r="L58" s="21" t="str">
        <f>"n.a."</f>
        <v>n.a.</v>
      </c>
      <c r="M58" s="21">
        <f>'Tool blocks'!X318</f>
        <v>40</v>
      </c>
      <c r="N58" s="21">
        <v>150</v>
      </c>
      <c r="O58" s="21">
        <v>40</v>
      </c>
      <c r="P58" s="21">
        <v>40</v>
      </c>
      <c r="Q58" s="21">
        <v>40</v>
      </c>
      <c r="R58" s="21">
        <v>1.5</v>
      </c>
      <c r="S58" s="23">
        <v>0.5</v>
      </c>
      <c r="T58" s="17" t="s">
        <v>29</v>
      </c>
      <c r="U58" s="17" t="s">
        <v>142</v>
      </c>
      <c r="V58" s="17" t="s">
        <v>143</v>
      </c>
    </row>
    <row r="59" spans="1:22" ht="52" customHeight="1">
      <c r="A59" s="17" t="s">
        <v>145</v>
      </c>
      <c r="B59" s="17" t="s">
        <v>146</v>
      </c>
      <c r="C59" s="22">
        <v>100</v>
      </c>
      <c r="D59" s="22">
        <v>80</v>
      </c>
      <c r="E59" s="22">
        <v>25</v>
      </c>
      <c r="F59" s="22">
        <v>1</v>
      </c>
      <c r="G59" s="17" t="s">
        <v>147</v>
      </c>
      <c r="H59" s="20">
        <f>'Tool blocks'!E329</f>
        <v>1</v>
      </c>
      <c r="I59" s="19" t="str">
        <f>IF(H59=0,"Purchased assembly",IF(T59="Round billet","Ø"&amp;M59&amp;" × "&amp;J59,J59&amp;" × "&amp;K59&amp;" × "&amp;L59))</f>
        <v>135 × 115 × 60</v>
      </c>
      <c r="J59" s="21">
        <f>'Tool blocks'!X329</f>
        <v>135</v>
      </c>
      <c r="K59" s="21">
        <f>'Tool blocks'!Y329</f>
        <v>115</v>
      </c>
      <c r="L59" s="21">
        <f>'Tool blocks'!Z329</f>
        <v>60</v>
      </c>
      <c r="M59" s="21" t="str">
        <f>"n.a."</f>
        <v>n.a.</v>
      </c>
      <c r="N59" s="21">
        <v>100</v>
      </c>
      <c r="O59" s="21">
        <v>80</v>
      </c>
      <c r="P59" s="21">
        <v>25</v>
      </c>
      <c r="Q59" s="21" t="s">
        <v>21</v>
      </c>
      <c r="R59" s="21">
        <v>1</v>
      </c>
      <c r="S59" s="23">
        <v>0.5</v>
      </c>
      <c r="T59" s="17" t="s">
        <v>22</v>
      </c>
      <c r="U59" s="17" t="s">
        <v>148</v>
      </c>
      <c r="V59" s="17" t="s">
        <v>149</v>
      </c>
    </row>
    <row r="60" spans="1:22" ht="52" customHeight="1">
      <c r="A60" s="17" t="s">
        <v>145</v>
      </c>
      <c r="B60" s="17" t="s">
        <v>146</v>
      </c>
      <c r="C60" s="22">
        <v>100</v>
      </c>
      <c r="D60" s="22">
        <v>80</v>
      </c>
      <c r="E60" s="22">
        <v>25</v>
      </c>
      <c r="F60" s="22">
        <v>1</v>
      </c>
      <c r="G60" s="17" t="s">
        <v>150</v>
      </c>
      <c r="H60" s="20">
        <f>'Tool blocks'!E330</f>
        <v>1</v>
      </c>
      <c r="I60" s="19" t="str">
        <f>IF(H60=0,"Purchased assembly",IF(T60="Round billet","Ø"&amp;M60&amp;" × "&amp;J60,J60&amp;" × "&amp;K60&amp;" × "&amp;L60))</f>
        <v>210 × 190 × 35</v>
      </c>
      <c r="J60" s="21">
        <f>'Tool blocks'!X330</f>
        <v>210</v>
      </c>
      <c r="K60" s="21">
        <f>'Tool blocks'!Y330</f>
        <v>190</v>
      </c>
      <c r="L60" s="21">
        <f>'Tool blocks'!Z330</f>
        <v>35</v>
      </c>
      <c r="M60" s="21" t="str">
        <f>"n.a."</f>
        <v>n.a.</v>
      </c>
      <c r="N60" s="21">
        <v>100</v>
      </c>
      <c r="O60" s="21">
        <v>80</v>
      </c>
      <c r="P60" s="21">
        <v>25</v>
      </c>
      <c r="Q60" s="21" t="s">
        <v>21</v>
      </c>
      <c r="R60" s="21">
        <v>1</v>
      </c>
      <c r="S60" s="23">
        <v>0.5</v>
      </c>
      <c r="T60" s="17" t="s">
        <v>22</v>
      </c>
      <c r="U60" s="17" t="s">
        <v>148</v>
      </c>
      <c r="V60" s="17" t="s">
        <v>149</v>
      </c>
    </row>
    <row r="61" spans="1:22" ht="52" customHeight="1">
      <c r="A61" s="17" t="s">
        <v>145</v>
      </c>
      <c r="B61" s="17" t="s">
        <v>146</v>
      </c>
      <c r="C61" s="22">
        <v>100</v>
      </c>
      <c r="D61" s="22">
        <v>80</v>
      </c>
      <c r="E61" s="22">
        <v>25</v>
      </c>
      <c r="F61" s="22">
        <v>1</v>
      </c>
      <c r="G61" s="17" t="s">
        <v>151</v>
      </c>
      <c r="H61" s="20">
        <v>0</v>
      </c>
      <c r="I61" s="19" t="str">
        <f>IF(H61=0,"Purchased assembly",IF(T61="Round billet","Ø"&amp;M61&amp;" × "&amp;J61,J61&amp;" × "&amp;K61&amp;" × "&amp;L61))</f>
        <v>Purchased assembly</v>
      </c>
      <c r="J61" s="21" t="s">
        <v>21</v>
      </c>
      <c r="K61" s="21" t="s">
        <v>21</v>
      </c>
      <c r="L61" s="21" t="s">
        <v>21</v>
      </c>
      <c r="M61" s="21" t="s">
        <v>21</v>
      </c>
      <c r="N61" s="21">
        <v>100</v>
      </c>
      <c r="O61" s="21">
        <v>80</v>
      </c>
      <c r="P61" s="21">
        <v>25</v>
      </c>
      <c r="Q61" s="21" t="s">
        <v>21</v>
      </c>
      <c r="R61" s="21">
        <v>1</v>
      </c>
      <c r="S61" s="23">
        <v>0</v>
      </c>
      <c r="T61" s="17" t="s">
        <v>152</v>
      </c>
      <c r="U61" s="17" t="s">
        <v>148</v>
      </c>
      <c r="V61" s="17" t="s">
        <v>149</v>
      </c>
    </row>
    <row r="62" spans="1:22" ht="52" customHeight="1">
      <c r="A62" s="17" t="s">
        <v>153</v>
      </c>
      <c r="B62" s="17" t="s">
        <v>154</v>
      </c>
      <c r="C62" s="22">
        <v>100</v>
      </c>
      <c r="D62" s="22">
        <v>100</v>
      </c>
      <c r="E62" s="22">
        <v>50</v>
      </c>
      <c r="F62" s="22">
        <v>1.5</v>
      </c>
      <c r="G62" s="17" t="s">
        <v>155</v>
      </c>
      <c r="H62" s="20">
        <f>'Tool blocks'!E347</f>
        <v>1</v>
      </c>
      <c r="I62" s="19" t="str">
        <f>IF(H62=0,"Purchased assembly",IF(T62="Round billet","Ø"&amp;M62&amp;" × "&amp;J62,J62&amp;" × "&amp;K62&amp;" × "&amp;L62))</f>
        <v>Ø105 × 105</v>
      </c>
      <c r="J62" s="21">
        <f>'Tool blocks'!Z347</f>
        <v>105</v>
      </c>
      <c r="K62" s="21" t="str">
        <f>"n.a."</f>
        <v>n.a.</v>
      </c>
      <c r="L62" s="21" t="str">
        <f>"n.a."</f>
        <v>n.a.</v>
      </c>
      <c r="M62" s="21">
        <f>'Tool blocks'!X347</f>
        <v>105</v>
      </c>
      <c r="N62" s="21">
        <v>100</v>
      </c>
      <c r="O62" s="21">
        <v>100</v>
      </c>
      <c r="P62" s="21">
        <v>50</v>
      </c>
      <c r="Q62" s="21">
        <v>100</v>
      </c>
      <c r="R62" s="21">
        <v>1.5</v>
      </c>
      <c r="S62" s="23">
        <v>0.5</v>
      </c>
      <c r="T62" s="17" t="s">
        <v>29</v>
      </c>
      <c r="U62" s="17" t="s">
        <v>156</v>
      </c>
      <c r="V62" s="17" t="s">
        <v>157</v>
      </c>
    </row>
    <row r="63" spans="1:22" ht="52" customHeight="1">
      <c r="A63" s="17" t="s">
        <v>153</v>
      </c>
      <c r="B63" s="17" t="s">
        <v>154</v>
      </c>
      <c r="C63" s="22">
        <v>100</v>
      </c>
      <c r="D63" s="22">
        <v>100</v>
      </c>
      <c r="E63" s="22">
        <v>50</v>
      </c>
      <c r="F63" s="22">
        <v>1.5</v>
      </c>
      <c r="G63" s="17" t="s">
        <v>158</v>
      </c>
      <c r="H63" s="20">
        <f>'Tool blocks'!E348</f>
        <v>1</v>
      </c>
      <c r="I63" s="19" t="str">
        <f>IF(H63=0,"Purchased assembly",IF(T63="Round billet","Ø"&amp;M63&amp;" × "&amp;J63,J63&amp;" × "&amp;K63&amp;" × "&amp;L63))</f>
        <v>Ø90 × 35</v>
      </c>
      <c r="J63" s="21">
        <f>'Tool blocks'!Z348</f>
        <v>35</v>
      </c>
      <c r="K63" s="21" t="str">
        <f>"n.a."</f>
        <v>n.a.</v>
      </c>
      <c r="L63" s="21" t="str">
        <f>"n.a."</f>
        <v>n.a.</v>
      </c>
      <c r="M63" s="21">
        <f>'Tool blocks'!X348</f>
        <v>90</v>
      </c>
      <c r="N63" s="21">
        <v>100</v>
      </c>
      <c r="O63" s="21">
        <v>100</v>
      </c>
      <c r="P63" s="21">
        <v>50</v>
      </c>
      <c r="Q63" s="21">
        <v>100</v>
      </c>
      <c r="R63" s="21">
        <v>1.5</v>
      </c>
      <c r="S63" s="23">
        <v>0.5</v>
      </c>
      <c r="T63" s="17" t="s">
        <v>29</v>
      </c>
      <c r="U63" s="17" t="s">
        <v>156</v>
      </c>
      <c r="V63" s="17" t="s">
        <v>157</v>
      </c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 t="s">
        <v>159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</sheetData>
  <pageMargins left="0.7" right="0.7" top="0.75" bottom="0.75" header="0.3" footer="0.3"/>
  <headerFooter>
    <oddHeader>&amp;R&amp;"Aptos"&amp;14&amp;K71BF44 RESTRICTED&amp;1#_x000D_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D68"/>
  </sheetPr>
  <dimension ref="A1:AB358"/>
  <sheetViews>
    <sheetView showGridLines="0" workbookViewId="0">
      <pane xSplit="1" ySplit="4" topLeftCell="H32" activePane="bottomRight" state="frozen"/>
      <selection pane="topRight" activeCell="B1" sqref="B1"/>
      <selection pane="bottomLeft" activeCell="A7" sqref="A7"/>
      <selection pane="bottomRight" activeCell="A3" sqref="A3:XFD4"/>
    </sheetView>
  </sheetViews>
  <sheetFormatPr baseColWidth="10" defaultColWidth="8.6640625" defaultRowHeight="14"/>
  <cols>
    <col min="1" max="1" width="29.08203125" customWidth="1"/>
    <col min="2" max="2" width="21" customWidth="1"/>
    <col min="3" max="3" width="35" customWidth="1"/>
    <col min="4" max="4" width="27" customWidth="1"/>
    <col min="5" max="5" width="16.9140625" customWidth="1"/>
    <col min="6" max="6" width="32" customWidth="1"/>
    <col min="7" max="7" width="34" customWidth="1"/>
    <col min="8" max="8" width="55" customWidth="1"/>
    <col min="9" max="9" width="46.9140625" customWidth="1"/>
    <col min="10" max="10" width="62" customWidth="1"/>
    <col min="11" max="12" width="25" customWidth="1"/>
    <col min="13" max="13" width="23.9140625" customWidth="1"/>
    <col min="14" max="14" width="26" customWidth="1"/>
    <col min="15" max="15" width="23" customWidth="1"/>
    <col min="16" max="17" width="23.9140625" customWidth="1"/>
    <col min="18" max="18" width="26" customWidth="1"/>
    <col min="19" max="19" width="23.9140625" customWidth="1"/>
    <col min="20" max="20" width="22.08203125" customWidth="1"/>
    <col min="21" max="22" width="23.9140625" customWidth="1"/>
    <col min="23" max="23" width="27" customWidth="1"/>
    <col min="24" max="25" width="23" customWidth="1"/>
    <col min="26" max="26" width="27" customWidth="1"/>
    <col min="27" max="27" width="23.9140625" customWidth="1"/>
    <col min="28" max="28" width="85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>
      <c r="A2" s="2" t="s">
        <v>160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48" customHeight="1">
      <c r="A4" s="5" t="s">
        <v>1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5" t="s">
        <v>166</v>
      </c>
      <c r="H4" s="5" t="s">
        <v>167</v>
      </c>
      <c r="I4" s="5" t="s">
        <v>168</v>
      </c>
      <c r="J4" s="5" t="s">
        <v>169</v>
      </c>
      <c r="K4" s="5" t="s">
        <v>16</v>
      </c>
      <c r="L4" s="5" t="s">
        <v>170</v>
      </c>
      <c r="M4" s="5" t="s">
        <v>171</v>
      </c>
      <c r="N4" s="5" t="s">
        <v>172</v>
      </c>
      <c r="O4" s="5" t="s">
        <v>173</v>
      </c>
      <c r="P4" s="5" t="s">
        <v>174</v>
      </c>
      <c r="Q4" s="5" t="s">
        <v>175</v>
      </c>
      <c r="R4" s="5" t="s">
        <v>176</v>
      </c>
      <c r="S4" s="5" t="s">
        <v>177</v>
      </c>
      <c r="T4" s="5" t="s">
        <v>178</v>
      </c>
      <c r="U4" s="5" t="s">
        <v>179</v>
      </c>
      <c r="V4" s="5" t="s">
        <v>180</v>
      </c>
      <c r="W4" s="5" t="s">
        <v>181</v>
      </c>
      <c r="X4" s="5" t="s">
        <v>182</v>
      </c>
      <c r="Y4" s="5" t="s">
        <v>183</v>
      </c>
      <c r="Z4" s="5" t="s">
        <v>184</v>
      </c>
      <c r="AA4" s="5" t="s">
        <v>185</v>
      </c>
      <c r="AB4" s="5" t="s">
        <v>186</v>
      </c>
    </row>
    <row r="5" spans="1:28" ht="76" customHeight="1">
      <c r="A5" s="6" t="s">
        <v>18</v>
      </c>
      <c r="B5" s="3" t="s">
        <v>187</v>
      </c>
      <c r="C5" s="3" t="s">
        <v>188</v>
      </c>
      <c r="D5" s="13" t="s">
        <v>189</v>
      </c>
      <c r="E5" s="8">
        <v>1</v>
      </c>
      <c r="F5" s="12" t="str">
        <f t="shared" ref="F5:F68" si="0">IF(K5="Round billet","Ø"&amp;X5&amp;" × "&amp;Z5,X5&amp;" × "&amp;Y5&amp;" × "&amp;Z5)</f>
        <v>120 × 40 × 90</v>
      </c>
      <c r="G5" s="3" t="s">
        <v>190</v>
      </c>
      <c r="H5" s="3" t="s">
        <v>191</v>
      </c>
      <c r="I5" s="3" t="str">
        <f>'Quantity grades'!G5</f>
        <v>42CrMo4</v>
      </c>
      <c r="J5" s="3" t="s">
        <v>192</v>
      </c>
      <c r="K5" s="3" t="s">
        <v>22</v>
      </c>
      <c r="L5" s="10">
        <v>100</v>
      </c>
      <c r="M5" s="10">
        <v>20</v>
      </c>
      <c r="N5" s="10">
        <v>60</v>
      </c>
      <c r="O5" s="11">
        <v>0</v>
      </c>
      <c r="P5" s="10">
        <v>5</v>
      </c>
      <c r="Q5" s="10">
        <v>5</v>
      </c>
      <c r="R5" s="10">
        <v>20</v>
      </c>
      <c r="S5" s="10">
        <v>3</v>
      </c>
      <c r="T5" s="10">
        <v>5</v>
      </c>
      <c r="U5" s="9">
        <f t="shared" ref="U5:U68" si="1">L5*(1+O5)+2*P5</f>
        <v>110</v>
      </c>
      <c r="V5" s="9">
        <f t="shared" ref="V5:V68" si="2">IF(K5="Round billet","",M5*(1+O5)+2*Q5)</f>
        <v>30</v>
      </c>
      <c r="W5" s="9">
        <f t="shared" ref="W5:W68" si="3">N5*(1+O5)+R5</f>
        <v>80</v>
      </c>
      <c r="X5" s="9">
        <f t="shared" ref="X5:X68" si="4">ROUNDUP((U5+2*S5)/T5,0)*T5</f>
        <v>120</v>
      </c>
      <c r="Y5" s="9">
        <f t="shared" ref="Y5:Y68" si="5">IF(K5="Round billet","",ROUNDUP((V5+2*S5)/T5,0)*T5)</f>
        <v>40</v>
      </c>
      <c r="Z5" s="9">
        <f t="shared" ref="Z5:Z68" si="6">ROUNDUP((W5+2*S5)/T5,0)*T5</f>
        <v>90</v>
      </c>
      <c r="AA5" s="3" t="s">
        <v>193</v>
      </c>
      <c r="AB5" s="3" t="s">
        <v>194</v>
      </c>
    </row>
    <row r="6" spans="1:28" ht="76" customHeight="1">
      <c r="A6" s="6" t="s">
        <v>18</v>
      </c>
      <c r="B6" s="3" t="s">
        <v>187</v>
      </c>
      <c r="C6" s="3" t="s">
        <v>195</v>
      </c>
      <c r="D6" s="14" t="s">
        <v>196</v>
      </c>
      <c r="E6" s="8">
        <v>1</v>
      </c>
      <c r="F6" s="12" t="str">
        <f t="shared" si="0"/>
        <v>120 × 50 × 45</v>
      </c>
      <c r="G6" s="3" t="s">
        <v>190</v>
      </c>
      <c r="H6" s="3" t="s">
        <v>191</v>
      </c>
      <c r="I6" s="3" t="str">
        <f>'Quantity grades'!G5</f>
        <v>42CrMo4</v>
      </c>
      <c r="J6" s="3" t="s">
        <v>192</v>
      </c>
      <c r="K6" s="3" t="s">
        <v>22</v>
      </c>
      <c r="L6" s="10">
        <v>100</v>
      </c>
      <c r="M6" s="10">
        <v>16</v>
      </c>
      <c r="N6" s="10">
        <v>8</v>
      </c>
      <c r="O6" s="11">
        <v>0</v>
      </c>
      <c r="P6" s="10">
        <v>5</v>
      </c>
      <c r="Q6" s="10">
        <v>12</v>
      </c>
      <c r="R6" s="10">
        <v>27</v>
      </c>
      <c r="S6" s="10">
        <v>3</v>
      </c>
      <c r="T6" s="10">
        <v>5</v>
      </c>
      <c r="U6" s="9">
        <f t="shared" si="1"/>
        <v>110</v>
      </c>
      <c r="V6" s="9">
        <f t="shared" si="2"/>
        <v>40</v>
      </c>
      <c r="W6" s="9">
        <f t="shared" si="3"/>
        <v>35</v>
      </c>
      <c r="X6" s="9">
        <f t="shared" si="4"/>
        <v>120</v>
      </c>
      <c r="Y6" s="9">
        <f t="shared" si="5"/>
        <v>50</v>
      </c>
      <c r="Z6" s="9">
        <f t="shared" si="6"/>
        <v>45</v>
      </c>
      <c r="AA6" s="3" t="s">
        <v>197</v>
      </c>
      <c r="AB6" s="3" t="s">
        <v>198</v>
      </c>
    </row>
    <row r="7" spans="1:28" ht="76" customHeight="1">
      <c r="A7" s="6" t="s">
        <v>18</v>
      </c>
      <c r="B7" s="3" t="s">
        <v>199</v>
      </c>
      <c r="C7" s="3" t="s">
        <v>188</v>
      </c>
      <c r="D7" s="13" t="s">
        <v>189</v>
      </c>
      <c r="E7" s="8">
        <v>1</v>
      </c>
      <c r="F7" s="12" t="str">
        <f t="shared" si="0"/>
        <v>120 × 40 × 90</v>
      </c>
      <c r="G7" s="3" t="s">
        <v>190</v>
      </c>
      <c r="H7" s="3" t="s">
        <v>191</v>
      </c>
      <c r="I7" s="3" t="str">
        <f>'Quantity grades'!G6</f>
        <v>42CrMo4</v>
      </c>
      <c r="J7" s="3" t="s">
        <v>192</v>
      </c>
      <c r="K7" s="3" t="s">
        <v>22</v>
      </c>
      <c r="L7" s="10">
        <v>100</v>
      </c>
      <c r="M7" s="10">
        <v>20</v>
      </c>
      <c r="N7" s="10">
        <v>60</v>
      </c>
      <c r="O7" s="11">
        <v>0</v>
      </c>
      <c r="P7" s="10">
        <v>5</v>
      </c>
      <c r="Q7" s="10">
        <v>5</v>
      </c>
      <c r="R7" s="10">
        <v>20</v>
      </c>
      <c r="S7" s="10">
        <v>3</v>
      </c>
      <c r="T7" s="10">
        <v>5</v>
      </c>
      <c r="U7" s="9">
        <f t="shared" si="1"/>
        <v>110</v>
      </c>
      <c r="V7" s="9">
        <f t="shared" si="2"/>
        <v>30</v>
      </c>
      <c r="W7" s="9">
        <f t="shared" si="3"/>
        <v>80</v>
      </c>
      <c r="X7" s="9">
        <f t="shared" si="4"/>
        <v>120</v>
      </c>
      <c r="Y7" s="9">
        <f t="shared" si="5"/>
        <v>40</v>
      </c>
      <c r="Z7" s="9">
        <f t="shared" si="6"/>
        <v>90</v>
      </c>
      <c r="AA7" s="3" t="s">
        <v>200</v>
      </c>
      <c r="AB7" s="3" t="s">
        <v>194</v>
      </c>
    </row>
    <row r="8" spans="1:28" ht="76" customHeight="1">
      <c r="A8" s="6" t="s">
        <v>18</v>
      </c>
      <c r="B8" s="3" t="s">
        <v>199</v>
      </c>
      <c r="C8" s="3" t="s">
        <v>195</v>
      </c>
      <c r="D8" s="14" t="s">
        <v>196</v>
      </c>
      <c r="E8" s="8">
        <v>1</v>
      </c>
      <c r="F8" s="12" t="str">
        <f t="shared" si="0"/>
        <v>120 × 50 × 45</v>
      </c>
      <c r="G8" s="3" t="s">
        <v>190</v>
      </c>
      <c r="H8" s="3" t="s">
        <v>191</v>
      </c>
      <c r="I8" s="3" t="str">
        <f>'Quantity grades'!G6</f>
        <v>42CrMo4</v>
      </c>
      <c r="J8" s="3" t="s">
        <v>192</v>
      </c>
      <c r="K8" s="3" t="s">
        <v>22</v>
      </c>
      <c r="L8" s="10">
        <v>100</v>
      </c>
      <c r="M8" s="10">
        <v>16</v>
      </c>
      <c r="N8" s="10">
        <v>8</v>
      </c>
      <c r="O8" s="11">
        <v>0</v>
      </c>
      <c r="P8" s="10">
        <v>5</v>
      </c>
      <c r="Q8" s="10">
        <v>12</v>
      </c>
      <c r="R8" s="10">
        <v>27</v>
      </c>
      <c r="S8" s="10">
        <v>3</v>
      </c>
      <c r="T8" s="10">
        <v>5</v>
      </c>
      <c r="U8" s="9">
        <f t="shared" si="1"/>
        <v>110</v>
      </c>
      <c r="V8" s="9">
        <f t="shared" si="2"/>
        <v>40</v>
      </c>
      <c r="W8" s="9">
        <f t="shared" si="3"/>
        <v>35</v>
      </c>
      <c r="X8" s="9">
        <f t="shared" si="4"/>
        <v>120</v>
      </c>
      <c r="Y8" s="9">
        <f t="shared" si="5"/>
        <v>50</v>
      </c>
      <c r="Z8" s="9">
        <f t="shared" si="6"/>
        <v>45</v>
      </c>
      <c r="AA8" s="3" t="s">
        <v>201</v>
      </c>
      <c r="AB8" s="3" t="s">
        <v>198</v>
      </c>
    </row>
    <row r="9" spans="1:28" ht="76" customHeight="1">
      <c r="A9" s="6" t="s">
        <v>18</v>
      </c>
      <c r="B9" s="3" t="s">
        <v>202</v>
      </c>
      <c r="C9" s="3" t="s">
        <v>188</v>
      </c>
      <c r="D9" s="13" t="s">
        <v>189</v>
      </c>
      <c r="E9" s="8">
        <v>1</v>
      </c>
      <c r="F9" s="12" t="str">
        <f t="shared" si="0"/>
        <v>120 × 40 × 90</v>
      </c>
      <c r="G9" s="3" t="s">
        <v>190</v>
      </c>
      <c r="H9" s="3" t="s">
        <v>191</v>
      </c>
      <c r="I9" s="3" t="str">
        <f>'Quantity grades'!G7</f>
        <v>42CrMo4 / A2</v>
      </c>
      <c r="J9" s="3" t="s">
        <v>192</v>
      </c>
      <c r="K9" s="3" t="s">
        <v>22</v>
      </c>
      <c r="L9" s="10">
        <v>100</v>
      </c>
      <c r="M9" s="10">
        <v>20</v>
      </c>
      <c r="N9" s="10">
        <v>60</v>
      </c>
      <c r="O9" s="11">
        <v>0</v>
      </c>
      <c r="P9" s="10">
        <v>5</v>
      </c>
      <c r="Q9" s="10">
        <v>5</v>
      </c>
      <c r="R9" s="10">
        <v>20</v>
      </c>
      <c r="S9" s="10">
        <v>3</v>
      </c>
      <c r="T9" s="10">
        <v>5</v>
      </c>
      <c r="U9" s="9">
        <f t="shared" si="1"/>
        <v>110</v>
      </c>
      <c r="V9" s="9">
        <f t="shared" si="2"/>
        <v>30</v>
      </c>
      <c r="W9" s="9">
        <f t="shared" si="3"/>
        <v>80</v>
      </c>
      <c r="X9" s="9">
        <f t="shared" si="4"/>
        <v>120</v>
      </c>
      <c r="Y9" s="9">
        <f t="shared" si="5"/>
        <v>40</v>
      </c>
      <c r="Z9" s="9">
        <f t="shared" si="6"/>
        <v>90</v>
      </c>
      <c r="AA9" s="3" t="s">
        <v>203</v>
      </c>
      <c r="AB9" s="3" t="s">
        <v>194</v>
      </c>
    </row>
    <row r="10" spans="1:28" ht="76" customHeight="1">
      <c r="A10" s="6" t="s">
        <v>18</v>
      </c>
      <c r="B10" s="3" t="s">
        <v>202</v>
      </c>
      <c r="C10" s="3" t="s">
        <v>195</v>
      </c>
      <c r="D10" s="14" t="s">
        <v>196</v>
      </c>
      <c r="E10" s="8">
        <v>1</v>
      </c>
      <c r="F10" s="12" t="str">
        <f t="shared" si="0"/>
        <v>120 × 50 × 45</v>
      </c>
      <c r="G10" s="3" t="s">
        <v>190</v>
      </c>
      <c r="H10" s="3" t="s">
        <v>191</v>
      </c>
      <c r="I10" s="3" t="str">
        <f>'Quantity grades'!G7</f>
        <v>42CrMo4 / A2</v>
      </c>
      <c r="J10" s="3" t="s">
        <v>192</v>
      </c>
      <c r="K10" s="3" t="s">
        <v>22</v>
      </c>
      <c r="L10" s="10">
        <v>100</v>
      </c>
      <c r="M10" s="10">
        <v>16</v>
      </c>
      <c r="N10" s="10">
        <v>8</v>
      </c>
      <c r="O10" s="11">
        <v>0</v>
      </c>
      <c r="P10" s="10">
        <v>5</v>
      </c>
      <c r="Q10" s="10">
        <v>12</v>
      </c>
      <c r="R10" s="10">
        <v>27</v>
      </c>
      <c r="S10" s="10">
        <v>3</v>
      </c>
      <c r="T10" s="10">
        <v>5</v>
      </c>
      <c r="U10" s="9">
        <f t="shared" si="1"/>
        <v>110</v>
      </c>
      <c r="V10" s="9">
        <f t="shared" si="2"/>
        <v>40</v>
      </c>
      <c r="W10" s="9">
        <f t="shared" si="3"/>
        <v>35</v>
      </c>
      <c r="X10" s="9">
        <f t="shared" si="4"/>
        <v>120</v>
      </c>
      <c r="Y10" s="9">
        <f t="shared" si="5"/>
        <v>50</v>
      </c>
      <c r="Z10" s="9">
        <f t="shared" si="6"/>
        <v>45</v>
      </c>
      <c r="AA10" s="3" t="s">
        <v>204</v>
      </c>
      <c r="AB10" s="3" t="s">
        <v>198</v>
      </c>
    </row>
    <row r="11" spans="1:28" ht="76" customHeight="1">
      <c r="A11" s="6" t="s">
        <v>18</v>
      </c>
      <c r="B11" s="3" t="s">
        <v>205</v>
      </c>
      <c r="C11" s="3" t="s">
        <v>188</v>
      </c>
      <c r="D11" s="13" t="s">
        <v>189</v>
      </c>
      <c r="E11" s="8">
        <v>1</v>
      </c>
      <c r="F11" s="12" t="str">
        <f t="shared" si="0"/>
        <v>120 × 40 × 90</v>
      </c>
      <c r="G11" s="3" t="s">
        <v>190</v>
      </c>
      <c r="H11" s="3" t="s">
        <v>191</v>
      </c>
      <c r="I11" s="3" t="str">
        <f>'Quantity grades'!G8</f>
        <v>42CrMo4 / A2</v>
      </c>
      <c r="J11" s="3" t="s">
        <v>192</v>
      </c>
      <c r="K11" s="3" t="s">
        <v>22</v>
      </c>
      <c r="L11" s="10">
        <v>100</v>
      </c>
      <c r="M11" s="10">
        <v>20</v>
      </c>
      <c r="N11" s="10">
        <v>60</v>
      </c>
      <c r="O11" s="11">
        <v>0</v>
      </c>
      <c r="P11" s="10">
        <v>5</v>
      </c>
      <c r="Q11" s="10">
        <v>5</v>
      </c>
      <c r="R11" s="10">
        <v>20</v>
      </c>
      <c r="S11" s="10">
        <v>3</v>
      </c>
      <c r="T11" s="10">
        <v>5</v>
      </c>
      <c r="U11" s="9">
        <f t="shared" si="1"/>
        <v>110</v>
      </c>
      <c r="V11" s="9">
        <f t="shared" si="2"/>
        <v>30</v>
      </c>
      <c r="W11" s="9">
        <f t="shared" si="3"/>
        <v>80</v>
      </c>
      <c r="X11" s="9">
        <f t="shared" si="4"/>
        <v>120</v>
      </c>
      <c r="Y11" s="9">
        <f t="shared" si="5"/>
        <v>40</v>
      </c>
      <c r="Z11" s="9">
        <f t="shared" si="6"/>
        <v>90</v>
      </c>
      <c r="AA11" s="3" t="s">
        <v>206</v>
      </c>
      <c r="AB11" s="3" t="s">
        <v>194</v>
      </c>
    </row>
    <row r="12" spans="1:28" ht="76" customHeight="1">
      <c r="A12" s="6" t="s">
        <v>18</v>
      </c>
      <c r="B12" s="3" t="s">
        <v>205</v>
      </c>
      <c r="C12" s="3" t="s">
        <v>195</v>
      </c>
      <c r="D12" s="14" t="s">
        <v>196</v>
      </c>
      <c r="E12" s="8">
        <v>1</v>
      </c>
      <c r="F12" s="12" t="str">
        <f t="shared" si="0"/>
        <v>120 × 50 × 45</v>
      </c>
      <c r="G12" s="3" t="s">
        <v>190</v>
      </c>
      <c r="H12" s="3" t="s">
        <v>191</v>
      </c>
      <c r="I12" s="3" t="str">
        <f>'Quantity grades'!G8</f>
        <v>42CrMo4 / A2</v>
      </c>
      <c r="J12" s="3" t="s">
        <v>192</v>
      </c>
      <c r="K12" s="3" t="s">
        <v>22</v>
      </c>
      <c r="L12" s="10">
        <v>100</v>
      </c>
      <c r="M12" s="10">
        <v>16</v>
      </c>
      <c r="N12" s="10">
        <v>8</v>
      </c>
      <c r="O12" s="11">
        <v>0</v>
      </c>
      <c r="P12" s="10">
        <v>5</v>
      </c>
      <c r="Q12" s="10">
        <v>12</v>
      </c>
      <c r="R12" s="10">
        <v>27</v>
      </c>
      <c r="S12" s="10">
        <v>3</v>
      </c>
      <c r="T12" s="10">
        <v>5</v>
      </c>
      <c r="U12" s="9">
        <f t="shared" si="1"/>
        <v>110</v>
      </c>
      <c r="V12" s="9">
        <f t="shared" si="2"/>
        <v>40</v>
      </c>
      <c r="W12" s="9">
        <f t="shared" si="3"/>
        <v>35</v>
      </c>
      <c r="X12" s="9">
        <f t="shared" si="4"/>
        <v>120</v>
      </c>
      <c r="Y12" s="9">
        <f t="shared" si="5"/>
        <v>50</v>
      </c>
      <c r="Z12" s="9">
        <f t="shared" si="6"/>
        <v>45</v>
      </c>
      <c r="AA12" s="3" t="s">
        <v>207</v>
      </c>
      <c r="AB12" s="3" t="s">
        <v>198</v>
      </c>
    </row>
    <row r="13" spans="1:28" ht="76" customHeight="1">
      <c r="A13" s="6" t="s">
        <v>18</v>
      </c>
      <c r="B13" s="3" t="s">
        <v>208</v>
      </c>
      <c r="C13" s="3" t="s">
        <v>188</v>
      </c>
      <c r="D13" s="13" t="s">
        <v>189</v>
      </c>
      <c r="E13" s="8">
        <v>1</v>
      </c>
      <c r="F13" s="12" t="str">
        <f t="shared" si="0"/>
        <v>120 × 40 × 90</v>
      </c>
      <c r="G13" s="3" t="s">
        <v>190</v>
      </c>
      <c r="H13" s="3" t="s">
        <v>191</v>
      </c>
      <c r="I13" s="3" t="str">
        <f>'Quantity grades'!G9</f>
        <v>A2; D2 where wear dominates</v>
      </c>
      <c r="J13" s="3" t="s">
        <v>192</v>
      </c>
      <c r="K13" s="3" t="s">
        <v>22</v>
      </c>
      <c r="L13" s="10">
        <v>100</v>
      </c>
      <c r="M13" s="10">
        <v>20</v>
      </c>
      <c r="N13" s="10">
        <v>60</v>
      </c>
      <c r="O13" s="11">
        <v>0</v>
      </c>
      <c r="P13" s="10">
        <v>5</v>
      </c>
      <c r="Q13" s="10">
        <v>5</v>
      </c>
      <c r="R13" s="10">
        <v>20</v>
      </c>
      <c r="S13" s="10">
        <v>3</v>
      </c>
      <c r="T13" s="10">
        <v>5</v>
      </c>
      <c r="U13" s="9">
        <f t="shared" si="1"/>
        <v>110</v>
      </c>
      <c r="V13" s="9">
        <f t="shared" si="2"/>
        <v>30</v>
      </c>
      <c r="W13" s="9">
        <f t="shared" si="3"/>
        <v>80</v>
      </c>
      <c r="X13" s="9">
        <f t="shared" si="4"/>
        <v>120</v>
      </c>
      <c r="Y13" s="9">
        <f t="shared" si="5"/>
        <v>40</v>
      </c>
      <c r="Z13" s="9">
        <f t="shared" si="6"/>
        <v>90</v>
      </c>
      <c r="AA13" s="3" t="s">
        <v>209</v>
      </c>
      <c r="AB13" s="3" t="s">
        <v>194</v>
      </c>
    </row>
    <row r="14" spans="1:28" ht="76" customHeight="1">
      <c r="A14" s="6" t="s">
        <v>18</v>
      </c>
      <c r="B14" s="3" t="s">
        <v>208</v>
      </c>
      <c r="C14" s="3" t="s">
        <v>195</v>
      </c>
      <c r="D14" s="14" t="s">
        <v>196</v>
      </c>
      <c r="E14" s="8">
        <v>1</v>
      </c>
      <c r="F14" s="12" t="str">
        <f t="shared" si="0"/>
        <v>120 × 50 × 45</v>
      </c>
      <c r="G14" s="3" t="s">
        <v>190</v>
      </c>
      <c r="H14" s="3" t="s">
        <v>191</v>
      </c>
      <c r="I14" s="3" t="str">
        <f>'Quantity grades'!G9</f>
        <v>A2; D2 where wear dominates</v>
      </c>
      <c r="J14" s="3" t="s">
        <v>192</v>
      </c>
      <c r="K14" s="3" t="s">
        <v>22</v>
      </c>
      <c r="L14" s="10">
        <v>100</v>
      </c>
      <c r="M14" s="10">
        <v>16</v>
      </c>
      <c r="N14" s="10">
        <v>8</v>
      </c>
      <c r="O14" s="11">
        <v>0</v>
      </c>
      <c r="P14" s="10">
        <v>5</v>
      </c>
      <c r="Q14" s="10">
        <v>12</v>
      </c>
      <c r="R14" s="10">
        <v>27</v>
      </c>
      <c r="S14" s="10">
        <v>3</v>
      </c>
      <c r="T14" s="10">
        <v>5</v>
      </c>
      <c r="U14" s="9">
        <f t="shared" si="1"/>
        <v>110</v>
      </c>
      <c r="V14" s="9">
        <f t="shared" si="2"/>
        <v>40</v>
      </c>
      <c r="W14" s="9">
        <f t="shared" si="3"/>
        <v>35</v>
      </c>
      <c r="X14" s="9">
        <f t="shared" si="4"/>
        <v>120</v>
      </c>
      <c r="Y14" s="9">
        <f t="shared" si="5"/>
        <v>50</v>
      </c>
      <c r="Z14" s="9">
        <f t="shared" si="6"/>
        <v>45</v>
      </c>
      <c r="AA14" s="3" t="s">
        <v>210</v>
      </c>
      <c r="AB14" s="3" t="s">
        <v>198</v>
      </c>
    </row>
    <row r="15" spans="1:28" ht="76" customHeight="1">
      <c r="A15" s="6" t="s">
        <v>18</v>
      </c>
      <c r="B15" s="3" t="s">
        <v>211</v>
      </c>
      <c r="C15" s="3" t="s">
        <v>188</v>
      </c>
      <c r="D15" s="13" t="s">
        <v>189</v>
      </c>
      <c r="E15" s="8">
        <v>1</v>
      </c>
      <c r="F15" s="12" t="str">
        <f t="shared" si="0"/>
        <v>120 × 40 × 90</v>
      </c>
      <c r="G15" s="3" t="s">
        <v>190</v>
      </c>
      <c r="H15" s="3" t="s">
        <v>191</v>
      </c>
      <c r="I15" s="3" t="str">
        <f>'Quantity grades'!G10</f>
        <v>A2 / premium cold-work steel</v>
      </c>
      <c r="J15" s="3" t="s">
        <v>192</v>
      </c>
      <c r="K15" s="3" t="s">
        <v>22</v>
      </c>
      <c r="L15" s="10">
        <v>100</v>
      </c>
      <c r="M15" s="10">
        <v>20</v>
      </c>
      <c r="N15" s="10">
        <v>60</v>
      </c>
      <c r="O15" s="11">
        <v>0</v>
      </c>
      <c r="P15" s="10">
        <v>5</v>
      </c>
      <c r="Q15" s="10">
        <v>5</v>
      </c>
      <c r="R15" s="10">
        <v>20</v>
      </c>
      <c r="S15" s="10">
        <v>3</v>
      </c>
      <c r="T15" s="10">
        <v>5</v>
      </c>
      <c r="U15" s="9">
        <f t="shared" si="1"/>
        <v>110</v>
      </c>
      <c r="V15" s="9">
        <f t="shared" si="2"/>
        <v>30</v>
      </c>
      <c r="W15" s="9">
        <f t="shared" si="3"/>
        <v>80</v>
      </c>
      <c r="X15" s="9">
        <f t="shared" si="4"/>
        <v>120</v>
      </c>
      <c r="Y15" s="9">
        <f t="shared" si="5"/>
        <v>40</v>
      </c>
      <c r="Z15" s="9">
        <f t="shared" si="6"/>
        <v>90</v>
      </c>
      <c r="AA15" s="3" t="s">
        <v>212</v>
      </c>
      <c r="AB15" s="3" t="s">
        <v>194</v>
      </c>
    </row>
    <row r="16" spans="1:28" ht="76" customHeight="1">
      <c r="A16" s="6" t="s">
        <v>18</v>
      </c>
      <c r="B16" s="3" t="s">
        <v>211</v>
      </c>
      <c r="C16" s="3" t="s">
        <v>195</v>
      </c>
      <c r="D16" s="14" t="s">
        <v>196</v>
      </c>
      <c r="E16" s="8">
        <v>1</v>
      </c>
      <c r="F16" s="12" t="str">
        <f t="shared" si="0"/>
        <v>120 × 50 × 45</v>
      </c>
      <c r="G16" s="3" t="s">
        <v>190</v>
      </c>
      <c r="H16" s="3" t="s">
        <v>191</v>
      </c>
      <c r="I16" s="3" t="str">
        <f>'Quantity grades'!G10</f>
        <v>A2 / premium cold-work steel</v>
      </c>
      <c r="J16" s="3" t="s">
        <v>192</v>
      </c>
      <c r="K16" s="3" t="s">
        <v>22</v>
      </c>
      <c r="L16" s="10">
        <v>100</v>
      </c>
      <c r="M16" s="10">
        <v>16</v>
      </c>
      <c r="N16" s="10">
        <v>8</v>
      </c>
      <c r="O16" s="11">
        <v>0</v>
      </c>
      <c r="P16" s="10">
        <v>5</v>
      </c>
      <c r="Q16" s="10">
        <v>12</v>
      </c>
      <c r="R16" s="10">
        <v>27</v>
      </c>
      <c r="S16" s="10">
        <v>3</v>
      </c>
      <c r="T16" s="10">
        <v>5</v>
      </c>
      <c r="U16" s="9">
        <f t="shared" si="1"/>
        <v>110</v>
      </c>
      <c r="V16" s="9">
        <f t="shared" si="2"/>
        <v>40</v>
      </c>
      <c r="W16" s="9">
        <f t="shared" si="3"/>
        <v>35</v>
      </c>
      <c r="X16" s="9">
        <f t="shared" si="4"/>
        <v>120</v>
      </c>
      <c r="Y16" s="9">
        <f t="shared" si="5"/>
        <v>50</v>
      </c>
      <c r="Z16" s="9">
        <f t="shared" si="6"/>
        <v>45</v>
      </c>
      <c r="AA16" s="3" t="s">
        <v>213</v>
      </c>
      <c r="AB16" s="3" t="s">
        <v>198</v>
      </c>
    </row>
    <row r="17" spans="1:28" ht="76" customHeight="1">
      <c r="A17" s="6" t="s">
        <v>26</v>
      </c>
      <c r="B17" s="3" t="s">
        <v>187</v>
      </c>
      <c r="C17" s="3" t="s">
        <v>214</v>
      </c>
      <c r="D17" s="14" t="s">
        <v>196</v>
      </c>
      <c r="E17" s="8">
        <v>1</v>
      </c>
      <c r="F17" s="12" t="str">
        <f t="shared" si="0"/>
        <v>Ø190 × 70</v>
      </c>
      <c r="G17" s="3" t="s">
        <v>215</v>
      </c>
      <c r="H17" s="3" t="s">
        <v>216</v>
      </c>
      <c r="I17" s="3" t="str">
        <f>'Quantity grades'!G11</f>
        <v>H13</v>
      </c>
      <c r="J17" s="3" t="s">
        <v>217</v>
      </c>
      <c r="K17" s="3" t="s">
        <v>29</v>
      </c>
      <c r="L17" s="10">
        <v>57</v>
      </c>
      <c r="M17" s="15">
        <v>57</v>
      </c>
      <c r="N17" s="10">
        <v>20</v>
      </c>
      <c r="O17" s="11">
        <v>0</v>
      </c>
      <c r="P17" s="10">
        <v>61.5</v>
      </c>
      <c r="Q17" s="10">
        <v>61.5</v>
      </c>
      <c r="R17" s="10">
        <v>40</v>
      </c>
      <c r="S17" s="10">
        <v>3</v>
      </c>
      <c r="T17" s="10">
        <v>5</v>
      </c>
      <c r="U17" s="9">
        <f t="shared" si="1"/>
        <v>180</v>
      </c>
      <c r="V17" s="9" t="str">
        <f t="shared" si="2"/>
        <v/>
      </c>
      <c r="W17" s="9">
        <f t="shared" si="3"/>
        <v>60</v>
      </c>
      <c r="X17" s="9">
        <f t="shared" si="4"/>
        <v>190</v>
      </c>
      <c r="Y17" s="9" t="str">
        <f t="shared" si="5"/>
        <v/>
      </c>
      <c r="Z17" s="9">
        <f t="shared" si="6"/>
        <v>70</v>
      </c>
      <c r="AA17" s="3" t="s">
        <v>218</v>
      </c>
      <c r="AB17" s="3" t="s">
        <v>219</v>
      </c>
    </row>
    <row r="18" spans="1:28" ht="76" customHeight="1">
      <c r="A18" s="6" t="s">
        <v>26</v>
      </c>
      <c r="B18" s="3" t="s">
        <v>187</v>
      </c>
      <c r="C18" s="3" t="s">
        <v>220</v>
      </c>
      <c r="D18" s="13" t="s">
        <v>221</v>
      </c>
      <c r="E18" s="8">
        <v>1</v>
      </c>
      <c r="F18" s="12" t="str">
        <f t="shared" si="0"/>
        <v>Ø190 × 70</v>
      </c>
      <c r="G18" s="3" t="s">
        <v>215</v>
      </c>
      <c r="H18" s="3" t="s">
        <v>216</v>
      </c>
      <c r="I18" s="3" t="str">
        <f>'Quantity grades'!G11</f>
        <v>H13</v>
      </c>
      <c r="J18" s="3" t="s">
        <v>217</v>
      </c>
      <c r="K18" s="3" t="s">
        <v>29</v>
      </c>
      <c r="L18" s="10">
        <v>57</v>
      </c>
      <c r="M18" s="15">
        <v>57</v>
      </c>
      <c r="N18" s="10">
        <v>20</v>
      </c>
      <c r="O18" s="11">
        <v>0</v>
      </c>
      <c r="P18" s="10">
        <v>61.5</v>
      </c>
      <c r="Q18" s="10">
        <v>61.5</v>
      </c>
      <c r="R18" s="10">
        <v>40</v>
      </c>
      <c r="S18" s="10">
        <v>3</v>
      </c>
      <c r="T18" s="10">
        <v>5</v>
      </c>
      <c r="U18" s="9">
        <f t="shared" si="1"/>
        <v>180</v>
      </c>
      <c r="V18" s="9" t="str">
        <f t="shared" si="2"/>
        <v/>
      </c>
      <c r="W18" s="9">
        <f t="shared" si="3"/>
        <v>60</v>
      </c>
      <c r="X18" s="9">
        <f t="shared" si="4"/>
        <v>190</v>
      </c>
      <c r="Y18" s="9" t="str">
        <f t="shared" si="5"/>
        <v/>
      </c>
      <c r="Z18" s="9">
        <f t="shared" si="6"/>
        <v>70</v>
      </c>
      <c r="AA18" s="3" t="s">
        <v>222</v>
      </c>
      <c r="AB18" s="3" t="s">
        <v>223</v>
      </c>
    </row>
    <row r="19" spans="1:28" ht="76" customHeight="1">
      <c r="A19" s="6" t="s">
        <v>26</v>
      </c>
      <c r="B19" s="3" t="s">
        <v>187</v>
      </c>
      <c r="C19" s="3" t="s">
        <v>224</v>
      </c>
      <c r="D19" s="16" t="s">
        <v>225</v>
      </c>
      <c r="E19" s="8">
        <v>1</v>
      </c>
      <c r="F19" s="12" t="str">
        <f t="shared" si="0"/>
        <v>Ø190 × 50</v>
      </c>
      <c r="G19" s="3" t="s">
        <v>215</v>
      </c>
      <c r="H19" s="3" t="s">
        <v>216</v>
      </c>
      <c r="I19" s="3" t="s">
        <v>226</v>
      </c>
      <c r="J19" s="3" t="s">
        <v>217</v>
      </c>
      <c r="K19" s="3" t="s">
        <v>29</v>
      </c>
      <c r="L19" s="10">
        <v>180</v>
      </c>
      <c r="M19" s="15">
        <v>180</v>
      </c>
      <c r="N19" s="10">
        <v>40</v>
      </c>
      <c r="O19" s="11">
        <v>0</v>
      </c>
      <c r="P19" s="10">
        <v>0</v>
      </c>
      <c r="Q19" s="10">
        <v>0</v>
      </c>
      <c r="R19" s="10">
        <v>0</v>
      </c>
      <c r="S19" s="10">
        <v>3</v>
      </c>
      <c r="T19" s="10">
        <v>5</v>
      </c>
      <c r="U19" s="9">
        <f t="shared" si="1"/>
        <v>180</v>
      </c>
      <c r="V19" s="9" t="str">
        <f t="shared" si="2"/>
        <v/>
      </c>
      <c r="W19" s="9">
        <f t="shared" si="3"/>
        <v>40</v>
      </c>
      <c r="X19" s="9">
        <f t="shared" si="4"/>
        <v>190</v>
      </c>
      <c r="Y19" s="9" t="str">
        <f t="shared" si="5"/>
        <v/>
      </c>
      <c r="Z19" s="9">
        <f t="shared" si="6"/>
        <v>50</v>
      </c>
      <c r="AA19" s="3" t="s">
        <v>227</v>
      </c>
      <c r="AB19" s="3" t="s">
        <v>228</v>
      </c>
    </row>
    <row r="20" spans="1:28" ht="76" customHeight="1">
      <c r="A20" s="6" t="s">
        <v>26</v>
      </c>
      <c r="B20" s="3" t="s">
        <v>199</v>
      </c>
      <c r="C20" s="3" t="s">
        <v>214</v>
      </c>
      <c r="D20" s="14" t="s">
        <v>196</v>
      </c>
      <c r="E20" s="8">
        <v>1</v>
      </c>
      <c r="F20" s="12" t="str">
        <f t="shared" si="0"/>
        <v>Ø190 × 70</v>
      </c>
      <c r="G20" s="3" t="s">
        <v>215</v>
      </c>
      <c r="H20" s="3" t="s">
        <v>216</v>
      </c>
      <c r="I20" s="3" t="str">
        <f>'Quantity grades'!G12</f>
        <v>H13</v>
      </c>
      <c r="J20" s="3" t="s">
        <v>217</v>
      </c>
      <c r="K20" s="3" t="s">
        <v>29</v>
      </c>
      <c r="L20" s="10">
        <v>57</v>
      </c>
      <c r="M20" s="15">
        <v>57</v>
      </c>
      <c r="N20" s="10">
        <v>20</v>
      </c>
      <c r="O20" s="11">
        <v>0</v>
      </c>
      <c r="P20" s="10">
        <v>61.5</v>
      </c>
      <c r="Q20" s="10">
        <v>61.5</v>
      </c>
      <c r="R20" s="10">
        <v>40</v>
      </c>
      <c r="S20" s="10">
        <v>3</v>
      </c>
      <c r="T20" s="10">
        <v>5</v>
      </c>
      <c r="U20" s="9">
        <f t="shared" si="1"/>
        <v>180</v>
      </c>
      <c r="V20" s="9" t="str">
        <f t="shared" si="2"/>
        <v/>
      </c>
      <c r="W20" s="9">
        <f t="shared" si="3"/>
        <v>60</v>
      </c>
      <c r="X20" s="9">
        <f t="shared" si="4"/>
        <v>190</v>
      </c>
      <c r="Y20" s="9" t="str">
        <f t="shared" si="5"/>
        <v/>
      </c>
      <c r="Z20" s="9">
        <f t="shared" si="6"/>
        <v>70</v>
      </c>
      <c r="AA20" s="3" t="s">
        <v>229</v>
      </c>
      <c r="AB20" s="3" t="s">
        <v>219</v>
      </c>
    </row>
    <row r="21" spans="1:28" ht="76" customHeight="1">
      <c r="A21" s="6" t="s">
        <v>26</v>
      </c>
      <c r="B21" s="3" t="s">
        <v>199</v>
      </c>
      <c r="C21" s="3" t="s">
        <v>220</v>
      </c>
      <c r="D21" s="13" t="s">
        <v>221</v>
      </c>
      <c r="E21" s="8">
        <v>1</v>
      </c>
      <c r="F21" s="12" t="str">
        <f t="shared" si="0"/>
        <v>Ø190 × 70</v>
      </c>
      <c r="G21" s="3" t="s">
        <v>215</v>
      </c>
      <c r="H21" s="3" t="s">
        <v>216</v>
      </c>
      <c r="I21" s="3" t="str">
        <f>'Quantity grades'!G12</f>
        <v>H13</v>
      </c>
      <c r="J21" s="3" t="s">
        <v>217</v>
      </c>
      <c r="K21" s="3" t="s">
        <v>29</v>
      </c>
      <c r="L21" s="10">
        <v>57</v>
      </c>
      <c r="M21" s="15">
        <v>57</v>
      </c>
      <c r="N21" s="10">
        <v>20</v>
      </c>
      <c r="O21" s="11">
        <v>0</v>
      </c>
      <c r="P21" s="10">
        <v>61.5</v>
      </c>
      <c r="Q21" s="10">
        <v>61.5</v>
      </c>
      <c r="R21" s="10">
        <v>40</v>
      </c>
      <c r="S21" s="10">
        <v>3</v>
      </c>
      <c r="T21" s="10">
        <v>5</v>
      </c>
      <c r="U21" s="9">
        <f t="shared" si="1"/>
        <v>180</v>
      </c>
      <c r="V21" s="9" t="str">
        <f t="shared" si="2"/>
        <v/>
      </c>
      <c r="W21" s="9">
        <f t="shared" si="3"/>
        <v>60</v>
      </c>
      <c r="X21" s="9">
        <f t="shared" si="4"/>
        <v>190</v>
      </c>
      <c r="Y21" s="9" t="str">
        <f t="shared" si="5"/>
        <v/>
      </c>
      <c r="Z21" s="9">
        <f t="shared" si="6"/>
        <v>70</v>
      </c>
      <c r="AA21" s="3" t="s">
        <v>230</v>
      </c>
      <c r="AB21" s="3" t="s">
        <v>223</v>
      </c>
    </row>
    <row r="22" spans="1:28" ht="76" customHeight="1">
      <c r="A22" s="6" t="s">
        <v>26</v>
      </c>
      <c r="B22" s="3" t="s">
        <v>199</v>
      </c>
      <c r="C22" s="3" t="s">
        <v>224</v>
      </c>
      <c r="D22" s="16" t="s">
        <v>225</v>
      </c>
      <c r="E22" s="8">
        <v>1</v>
      </c>
      <c r="F22" s="12" t="str">
        <f t="shared" si="0"/>
        <v>Ø190 × 50</v>
      </c>
      <c r="G22" s="3" t="s">
        <v>215</v>
      </c>
      <c r="H22" s="3" t="s">
        <v>216</v>
      </c>
      <c r="I22" s="3" t="s">
        <v>226</v>
      </c>
      <c r="J22" s="3" t="s">
        <v>217</v>
      </c>
      <c r="K22" s="3" t="s">
        <v>29</v>
      </c>
      <c r="L22" s="10">
        <v>180</v>
      </c>
      <c r="M22" s="15">
        <v>180</v>
      </c>
      <c r="N22" s="10">
        <v>40</v>
      </c>
      <c r="O22" s="11">
        <v>0</v>
      </c>
      <c r="P22" s="10">
        <v>0</v>
      </c>
      <c r="Q22" s="10">
        <v>0</v>
      </c>
      <c r="R22" s="10">
        <v>0</v>
      </c>
      <c r="S22" s="10">
        <v>3</v>
      </c>
      <c r="T22" s="10">
        <v>5</v>
      </c>
      <c r="U22" s="9">
        <f t="shared" si="1"/>
        <v>180</v>
      </c>
      <c r="V22" s="9" t="str">
        <f t="shared" si="2"/>
        <v/>
      </c>
      <c r="W22" s="9">
        <f t="shared" si="3"/>
        <v>40</v>
      </c>
      <c r="X22" s="9">
        <f t="shared" si="4"/>
        <v>190</v>
      </c>
      <c r="Y22" s="9" t="str">
        <f t="shared" si="5"/>
        <v/>
      </c>
      <c r="Z22" s="9">
        <f t="shared" si="6"/>
        <v>50</v>
      </c>
      <c r="AA22" s="3" t="s">
        <v>231</v>
      </c>
      <c r="AB22" s="3" t="s">
        <v>228</v>
      </c>
    </row>
    <row r="23" spans="1:28" ht="76" customHeight="1">
      <c r="A23" s="6" t="s">
        <v>26</v>
      </c>
      <c r="B23" s="3" t="s">
        <v>202</v>
      </c>
      <c r="C23" s="3" t="s">
        <v>214</v>
      </c>
      <c r="D23" s="14" t="s">
        <v>196</v>
      </c>
      <c r="E23" s="8">
        <v>1</v>
      </c>
      <c r="F23" s="12" t="str">
        <f t="shared" si="0"/>
        <v>Ø190 × 70</v>
      </c>
      <c r="G23" s="3" t="s">
        <v>215</v>
      </c>
      <c r="H23" s="3" t="s">
        <v>216</v>
      </c>
      <c r="I23" s="3" t="str">
        <f>'Quantity grades'!G13</f>
        <v>H13</v>
      </c>
      <c r="J23" s="3" t="s">
        <v>217</v>
      </c>
      <c r="K23" s="3" t="s">
        <v>29</v>
      </c>
      <c r="L23" s="10">
        <v>57</v>
      </c>
      <c r="M23" s="15">
        <v>57</v>
      </c>
      <c r="N23" s="10">
        <v>20</v>
      </c>
      <c r="O23" s="11">
        <v>0</v>
      </c>
      <c r="P23" s="10">
        <v>61.5</v>
      </c>
      <c r="Q23" s="10">
        <v>61.5</v>
      </c>
      <c r="R23" s="10">
        <v>40</v>
      </c>
      <c r="S23" s="10">
        <v>3</v>
      </c>
      <c r="T23" s="10">
        <v>5</v>
      </c>
      <c r="U23" s="9">
        <f t="shared" si="1"/>
        <v>180</v>
      </c>
      <c r="V23" s="9" t="str">
        <f t="shared" si="2"/>
        <v/>
      </c>
      <c r="W23" s="9">
        <f t="shared" si="3"/>
        <v>60</v>
      </c>
      <c r="X23" s="9">
        <f t="shared" si="4"/>
        <v>190</v>
      </c>
      <c r="Y23" s="9" t="str">
        <f t="shared" si="5"/>
        <v/>
      </c>
      <c r="Z23" s="9">
        <f t="shared" si="6"/>
        <v>70</v>
      </c>
      <c r="AA23" s="3" t="s">
        <v>232</v>
      </c>
      <c r="AB23" s="3" t="s">
        <v>219</v>
      </c>
    </row>
    <row r="24" spans="1:28" ht="76" customHeight="1">
      <c r="A24" s="6" t="s">
        <v>26</v>
      </c>
      <c r="B24" s="3" t="s">
        <v>202</v>
      </c>
      <c r="C24" s="3" t="s">
        <v>220</v>
      </c>
      <c r="D24" s="13" t="s">
        <v>221</v>
      </c>
      <c r="E24" s="8">
        <v>1</v>
      </c>
      <c r="F24" s="12" t="str">
        <f t="shared" si="0"/>
        <v>Ø190 × 70</v>
      </c>
      <c r="G24" s="3" t="s">
        <v>215</v>
      </c>
      <c r="H24" s="3" t="s">
        <v>216</v>
      </c>
      <c r="I24" s="3" t="str">
        <f>'Quantity grades'!G13</f>
        <v>H13</v>
      </c>
      <c r="J24" s="3" t="s">
        <v>217</v>
      </c>
      <c r="K24" s="3" t="s">
        <v>29</v>
      </c>
      <c r="L24" s="10">
        <v>57</v>
      </c>
      <c r="M24" s="15">
        <v>57</v>
      </c>
      <c r="N24" s="10">
        <v>20</v>
      </c>
      <c r="O24" s="11">
        <v>0</v>
      </c>
      <c r="P24" s="10">
        <v>61.5</v>
      </c>
      <c r="Q24" s="10">
        <v>61.5</v>
      </c>
      <c r="R24" s="10">
        <v>40</v>
      </c>
      <c r="S24" s="10">
        <v>3</v>
      </c>
      <c r="T24" s="10">
        <v>5</v>
      </c>
      <c r="U24" s="9">
        <f t="shared" si="1"/>
        <v>180</v>
      </c>
      <c r="V24" s="9" t="str">
        <f t="shared" si="2"/>
        <v/>
      </c>
      <c r="W24" s="9">
        <f t="shared" si="3"/>
        <v>60</v>
      </c>
      <c r="X24" s="9">
        <f t="shared" si="4"/>
        <v>190</v>
      </c>
      <c r="Y24" s="9" t="str">
        <f t="shared" si="5"/>
        <v/>
      </c>
      <c r="Z24" s="9">
        <f t="shared" si="6"/>
        <v>70</v>
      </c>
      <c r="AA24" s="3" t="s">
        <v>233</v>
      </c>
      <c r="AB24" s="3" t="s">
        <v>223</v>
      </c>
    </row>
    <row r="25" spans="1:28" ht="76" customHeight="1">
      <c r="A25" s="6" t="s">
        <v>26</v>
      </c>
      <c r="B25" s="3" t="s">
        <v>202</v>
      </c>
      <c r="C25" s="3" t="s">
        <v>224</v>
      </c>
      <c r="D25" s="16" t="s">
        <v>225</v>
      </c>
      <c r="E25" s="8">
        <v>1</v>
      </c>
      <c r="F25" s="12" t="str">
        <f t="shared" si="0"/>
        <v>Ø190 × 50</v>
      </c>
      <c r="G25" s="3" t="s">
        <v>215</v>
      </c>
      <c r="H25" s="3" t="s">
        <v>216</v>
      </c>
      <c r="I25" s="3" t="s">
        <v>226</v>
      </c>
      <c r="J25" s="3" t="s">
        <v>217</v>
      </c>
      <c r="K25" s="3" t="s">
        <v>29</v>
      </c>
      <c r="L25" s="10">
        <v>180</v>
      </c>
      <c r="M25" s="15">
        <v>180</v>
      </c>
      <c r="N25" s="10">
        <v>40</v>
      </c>
      <c r="O25" s="11">
        <v>0</v>
      </c>
      <c r="P25" s="10">
        <v>0</v>
      </c>
      <c r="Q25" s="10">
        <v>0</v>
      </c>
      <c r="R25" s="10">
        <v>0</v>
      </c>
      <c r="S25" s="10">
        <v>3</v>
      </c>
      <c r="T25" s="10">
        <v>5</v>
      </c>
      <c r="U25" s="9">
        <f t="shared" si="1"/>
        <v>180</v>
      </c>
      <c r="V25" s="9" t="str">
        <f t="shared" si="2"/>
        <v/>
      </c>
      <c r="W25" s="9">
        <f t="shared" si="3"/>
        <v>40</v>
      </c>
      <c r="X25" s="9">
        <f t="shared" si="4"/>
        <v>190</v>
      </c>
      <c r="Y25" s="9" t="str">
        <f t="shared" si="5"/>
        <v/>
      </c>
      <c r="Z25" s="9">
        <f t="shared" si="6"/>
        <v>50</v>
      </c>
      <c r="AA25" s="3" t="s">
        <v>234</v>
      </c>
      <c r="AB25" s="3" t="s">
        <v>228</v>
      </c>
    </row>
    <row r="26" spans="1:28" ht="76" customHeight="1">
      <c r="A26" s="6" t="s">
        <v>26</v>
      </c>
      <c r="B26" s="3" t="s">
        <v>205</v>
      </c>
      <c r="C26" s="3" t="s">
        <v>214</v>
      </c>
      <c r="D26" s="14" t="s">
        <v>196</v>
      </c>
      <c r="E26" s="8">
        <v>1</v>
      </c>
      <c r="F26" s="12" t="str">
        <f t="shared" si="0"/>
        <v>Ø190 × 70</v>
      </c>
      <c r="G26" s="3" t="s">
        <v>215</v>
      </c>
      <c r="H26" s="3" t="s">
        <v>216</v>
      </c>
      <c r="I26" s="3" t="str">
        <f>'Quantity grades'!G14</f>
        <v>H13</v>
      </c>
      <c r="J26" s="3" t="s">
        <v>217</v>
      </c>
      <c r="K26" s="3" t="s">
        <v>29</v>
      </c>
      <c r="L26" s="10">
        <v>57</v>
      </c>
      <c r="M26" s="15">
        <v>57</v>
      </c>
      <c r="N26" s="10">
        <v>20</v>
      </c>
      <c r="O26" s="11">
        <v>0</v>
      </c>
      <c r="P26" s="10">
        <v>61.5</v>
      </c>
      <c r="Q26" s="10">
        <v>61.5</v>
      </c>
      <c r="R26" s="10">
        <v>40</v>
      </c>
      <c r="S26" s="10">
        <v>3</v>
      </c>
      <c r="T26" s="10">
        <v>5</v>
      </c>
      <c r="U26" s="9">
        <f t="shared" si="1"/>
        <v>180</v>
      </c>
      <c r="V26" s="9" t="str">
        <f t="shared" si="2"/>
        <v/>
      </c>
      <c r="W26" s="9">
        <f t="shared" si="3"/>
        <v>60</v>
      </c>
      <c r="X26" s="9">
        <f t="shared" si="4"/>
        <v>190</v>
      </c>
      <c r="Y26" s="9" t="str">
        <f t="shared" si="5"/>
        <v/>
      </c>
      <c r="Z26" s="9">
        <f t="shared" si="6"/>
        <v>70</v>
      </c>
      <c r="AA26" s="3" t="s">
        <v>235</v>
      </c>
      <c r="AB26" s="3" t="s">
        <v>219</v>
      </c>
    </row>
    <row r="27" spans="1:28" ht="76" customHeight="1">
      <c r="A27" s="6" t="s">
        <v>26</v>
      </c>
      <c r="B27" s="3" t="s">
        <v>205</v>
      </c>
      <c r="C27" s="3" t="s">
        <v>220</v>
      </c>
      <c r="D27" s="13" t="s">
        <v>221</v>
      </c>
      <c r="E27" s="8">
        <v>1</v>
      </c>
      <c r="F27" s="12" t="str">
        <f t="shared" si="0"/>
        <v>Ø190 × 70</v>
      </c>
      <c r="G27" s="3" t="s">
        <v>215</v>
      </c>
      <c r="H27" s="3" t="s">
        <v>216</v>
      </c>
      <c r="I27" s="3" t="str">
        <f>'Quantity grades'!G14</f>
        <v>H13</v>
      </c>
      <c r="J27" s="3" t="s">
        <v>217</v>
      </c>
      <c r="K27" s="3" t="s">
        <v>29</v>
      </c>
      <c r="L27" s="10">
        <v>57</v>
      </c>
      <c r="M27" s="15">
        <v>57</v>
      </c>
      <c r="N27" s="10">
        <v>20</v>
      </c>
      <c r="O27" s="11">
        <v>0</v>
      </c>
      <c r="P27" s="10">
        <v>61.5</v>
      </c>
      <c r="Q27" s="10">
        <v>61.5</v>
      </c>
      <c r="R27" s="10">
        <v>40</v>
      </c>
      <c r="S27" s="10">
        <v>3</v>
      </c>
      <c r="T27" s="10">
        <v>5</v>
      </c>
      <c r="U27" s="9">
        <f t="shared" si="1"/>
        <v>180</v>
      </c>
      <c r="V27" s="9" t="str">
        <f t="shared" si="2"/>
        <v/>
      </c>
      <c r="W27" s="9">
        <f t="shared" si="3"/>
        <v>60</v>
      </c>
      <c r="X27" s="9">
        <f t="shared" si="4"/>
        <v>190</v>
      </c>
      <c r="Y27" s="9" t="str">
        <f t="shared" si="5"/>
        <v/>
      </c>
      <c r="Z27" s="9">
        <f t="shared" si="6"/>
        <v>70</v>
      </c>
      <c r="AA27" s="3" t="s">
        <v>236</v>
      </c>
      <c r="AB27" s="3" t="s">
        <v>223</v>
      </c>
    </row>
    <row r="28" spans="1:28" ht="76" customHeight="1">
      <c r="A28" s="6" t="s">
        <v>26</v>
      </c>
      <c r="B28" s="3" t="s">
        <v>205</v>
      </c>
      <c r="C28" s="3" t="s">
        <v>224</v>
      </c>
      <c r="D28" s="16" t="s">
        <v>225</v>
      </c>
      <c r="E28" s="8">
        <v>1</v>
      </c>
      <c r="F28" s="12" t="str">
        <f t="shared" si="0"/>
        <v>Ø190 × 50</v>
      </c>
      <c r="G28" s="3" t="s">
        <v>215</v>
      </c>
      <c r="H28" s="3" t="s">
        <v>216</v>
      </c>
      <c r="I28" s="3" t="s">
        <v>226</v>
      </c>
      <c r="J28" s="3" t="s">
        <v>217</v>
      </c>
      <c r="K28" s="3" t="s">
        <v>29</v>
      </c>
      <c r="L28" s="10">
        <v>180</v>
      </c>
      <c r="M28" s="15">
        <v>180</v>
      </c>
      <c r="N28" s="10">
        <v>40</v>
      </c>
      <c r="O28" s="11">
        <v>0</v>
      </c>
      <c r="P28" s="10">
        <v>0</v>
      </c>
      <c r="Q28" s="10">
        <v>0</v>
      </c>
      <c r="R28" s="10">
        <v>0</v>
      </c>
      <c r="S28" s="10">
        <v>3</v>
      </c>
      <c r="T28" s="10">
        <v>5</v>
      </c>
      <c r="U28" s="9">
        <f t="shared" si="1"/>
        <v>180</v>
      </c>
      <c r="V28" s="9" t="str">
        <f t="shared" si="2"/>
        <v/>
      </c>
      <c r="W28" s="9">
        <f t="shared" si="3"/>
        <v>40</v>
      </c>
      <c r="X28" s="9">
        <f t="shared" si="4"/>
        <v>190</v>
      </c>
      <c r="Y28" s="9" t="str">
        <f t="shared" si="5"/>
        <v/>
      </c>
      <c r="Z28" s="9">
        <f t="shared" si="6"/>
        <v>50</v>
      </c>
      <c r="AA28" s="3" t="s">
        <v>237</v>
      </c>
      <c r="AB28" s="3" t="s">
        <v>228</v>
      </c>
    </row>
    <row r="29" spans="1:28" ht="76" customHeight="1">
      <c r="A29" s="6" t="s">
        <v>26</v>
      </c>
      <c r="B29" s="3" t="s">
        <v>208</v>
      </c>
      <c r="C29" s="3" t="s">
        <v>214</v>
      </c>
      <c r="D29" s="14" t="s">
        <v>196</v>
      </c>
      <c r="E29" s="8">
        <v>1</v>
      </c>
      <c r="F29" s="12" t="str">
        <f t="shared" si="0"/>
        <v>Ø190 × 70</v>
      </c>
      <c r="G29" s="3" t="s">
        <v>215</v>
      </c>
      <c r="H29" s="3" t="s">
        <v>216</v>
      </c>
      <c r="I29" s="3" t="str">
        <f>'Quantity grades'!G15</f>
        <v>H13 / H13 ESR</v>
      </c>
      <c r="J29" s="3" t="s">
        <v>217</v>
      </c>
      <c r="K29" s="3" t="s">
        <v>29</v>
      </c>
      <c r="L29" s="10">
        <v>57</v>
      </c>
      <c r="M29" s="15">
        <v>57</v>
      </c>
      <c r="N29" s="10">
        <v>20</v>
      </c>
      <c r="O29" s="11">
        <v>0</v>
      </c>
      <c r="P29" s="10">
        <v>61.5</v>
      </c>
      <c r="Q29" s="10">
        <v>61.5</v>
      </c>
      <c r="R29" s="10">
        <v>40</v>
      </c>
      <c r="S29" s="10">
        <v>3</v>
      </c>
      <c r="T29" s="10">
        <v>5</v>
      </c>
      <c r="U29" s="9">
        <f t="shared" si="1"/>
        <v>180</v>
      </c>
      <c r="V29" s="9" t="str">
        <f t="shared" si="2"/>
        <v/>
      </c>
      <c r="W29" s="9">
        <f t="shared" si="3"/>
        <v>60</v>
      </c>
      <c r="X29" s="9">
        <f t="shared" si="4"/>
        <v>190</v>
      </c>
      <c r="Y29" s="9" t="str">
        <f t="shared" si="5"/>
        <v/>
      </c>
      <c r="Z29" s="9">
        <f t="shared" si="6"/>
        <v>70</v>
      </c>
      <c r="AA29" s="3" t="s">
        <v>238</v>
      </c>
      <c r="AB29" s="3" t="s">
        <v>219</v>
      </c>
    </row>
    <row r="30" spans="1:28" ht="76" customHeight="1">
      <c r="A30" s="6" t="s">
        <v>26</v>
      </c>
      <c r="B30" s="3" t="s">
        <v>208</v>
      </c>
      <c r="C30" s="3" t="s">
        <v>220</v>
      </c>
      <c r="D30" s="13" t="s">
        <v>221</v>
      </c>
      <c r="E30" s="8">
        <v>1</v>
      </c>
      <c r="F30" s="12" t="str">
        <f t="shared" si="0"/>
        <v>Ø190 × 70</v>
      </c>
      <c r="G30" s="3" t="s">
        <v>215</v>
      </c>
      <c r="H30" s="3" t="s">
        <v>216</v>
      </c>
      <c r="I30" s="3" t="str">
        <f>'Quantity grades'!G15</f>
        <v>H13 / H13 ESR</v>
      </c>
      <c r="J30" s="3" t="s">
        <v>217</v>
      </c>
      <c r="K30" s="3" t="s">
        <v>29</v>
      </c>
      <c r="L30" s="10">
        <v>57</v>
      </c>
      <c r="M30" s="15">
        <v>57</v>
      </c>
      <c r="N30" s="10">
        <v>20</v>
      </c>
      <c r="O30" s="11">
        <v>0</v>
      </c>
      <c r="P30" s="10">
        <v>61.5</v>
      </c>
      <c r="Q30" s="10">
        <v>61.5</v>
      </c>
      <c r="R30" s="10">
        <v>40</v>
      </c>
      <c r="S30" s="10">
        <v>3</v>
      </c>
      <c r="T30" s="10">
        <v>5</v>
      </c>
      <c r="U30" s="9">
        <f t="shared" si="1"/>
        <v>180</v>
      </c>
      <c r="V30" s="9" t="str">
        <f t="shared" si="2"/>
        <v/>
      </c>
      <c r="W30" s="9">
        <f t="shared" si="3"/>
        <v>60</v>
      </c>
      <c r="X30" s="9">
        <f t="shared" si="4"/>
        <v>190</v>
      </c>
      <c r="Y30" s="9" t="str">
        <f t="shared" si="5"/>
        <v/>
      </c>
      <c r="Z30" s="9">
        <f t="shared" si="6"/>
        <v>70</v>
      </c>
      <c r="AA30" s="3" t="s">
        <v>239</v>
      </c>
      <c r="AB30" s="3" t="s">
        <v>223</v>
      </c>
    </row>
    <row r="31" spans="1:28" ht="76" customHeight="1">
      <c r="A31" s="6" t="s">
        <v>26</v>
      </c>
      <c r="B31" s="3" t="s">
        <v>208</v>
      </c>
      <c r="C31" s="3" t="s">
        <v>224</v>
      </c>
      <c r="D31" s="16" t="s">
        <v>225</v>
      </c>
      <c r="E31" s="8">
        <v>1</v>
      </c>
      <c r="F31" s="12" t="str">
        <f t="shared" si="0"/>
        <v>Ø190 × 50</v>
      </c>
      <c r="G31" s="3" t="s">
        <v>215</v>
      </c>
      <c r="H31" s="3" t="s">
        <v>216</v>
      </c>
      <c r="I31" s="3" t="s">
        <v>226</v>
      </c>
      <c r="J31" s="3" t="s">
        <v>217</v>
      </c>
      <c r="K31" s="3" t="s">
        <v>29</v>
      </c>
      <c r="L31" s="10">
        <v>180</v>
      </c>
      <c r="M31" s="15">
        <v>180</v>
      </c>
      <c r="N31" s="10">
        <v>40</v>
      </c>
      <c r="O31" s="11">
        <v>0</v>
      </c>
      <c r="P31" s="10">
        <v>0</v>
      </c>
      <c r="Q31" s="10">
        <v>0</v>
      </c>
      <c r="R31" s="10">
        <v>0</v>
      </c>
      <c r="S31" s="10">
        <v>3</v>
      </c>
      <c r="T31" s="10">
        <v>5</v>
      </c>
      <c r="U31" s="9">
        <f t="shared" si="1"/>
        <v>180</v>
      </c>
      <c r="V31" s="9" t="str">
        <f t="shared" si="2"/>
        <v/>
      </c>
      <c r="W31" s="9">
        <f t="shared" si="3"/>
        <v>40</v>
      </c>
      <c r="X31" s="9">
        <f t="shared" si="4"/>
        <v>190</v>
      </c>
      <c r="Y31" s="9" t="str">
        <f t="shared" si="5"/>
        <v/>
      </c>
      <c r="Z31" s="9">
        <f t="shared" si="6"/>
        <v>50</v>
      </c>
      <c r="AA31" s="3" t="s">
        <v>240</v>
      </c>
      <c r="AB31" s="3" t="s">
        <v>228</v>
      </c>
    </row>
    <row r="32" spans="1:28" ht="76" customHeight="1">
      <c r="A32" s="6" t="s">
        <v>26</v>
      </c>
      <c r="B32" s="3" t="s">
        <v>211</v>
      </c>
      <c r="C32" s="3" t="s">
        <v>214</v>
      </c>
      <c r="D32" s="14" t="s">
        <v>196</v>
      </c>
      <c r="E32" s="8">
        <v>1</v>
      </c>
      <c r="F32" s="12" t="str">
        <f t="shared" si="0"/>
        <v>Ø190 × 70</v>
      </c>
      <c r="G32" s="3" t="s">
        <v>215</v>
      </c>
      <c r="H32" s="3" t="s">
        <v>216</v>
      </c>
      <c r="I32" s="3" t="str">
        <f>'Quantity grades'!G16</f>
        <v>H13 ESR / specialist hot-work steel</v>
      </c>
      <c r="J32" s="3" t="s">
        <v>217</v>
      </c>
      <c r="K32" s="3" t="s">
        <v>29</v>
      </c>
      <c r="L32" s="10">
        <v>57</v>
      </c>
      <c r="M32" s="15">
        <v>57</v>
      </c>
      <c r="N32" s="10">
        <v>20</v>
      </c>
      <c r="O32" s="11">
        <v>0</v>
      </c>
      <c r="P32" s="10">
        <v>61.5</v>
      </c>
      <c r="Q32" s="10">
        <v>61.5</v>
      </c>
      <c r="R32" s="10">
        <v>40</v>
      </c>
      <c r="S32" s="10">
        <v>3</v>
      </c>
      <c r="T32" s="10">
        <v>5</v>
      </c>
      <c r="U32" s="9">
        <f t="shared" si="1"/>
        <v>180</v>
      </c>
      <c r="V32" s="9" t="str">
        <f t="shared" si="2"/>
        <v/>
      </c>
      <c r="W32" s="9">
        <f t="shared" si="3"/>
        <v>60</v>
      </c>
      <c r="X32" s="9">
        <f t="shared" si="4"/>
        <v>190</v>
      </c>
      <c r="Y32" s="9" t="str">
        <f t="shared" si="5"/>
        <v/>
      </c>
      <c r="Z32" s="9">
        <f t="shared" si="6"/>
        <v>70</v>
      </c>
      <c r="AA32" s="3" t="s">
        <v>241</v>
      </c>
      <c r="AB32" s="3" t="s">
        <v>219</v>
      </c>
    </row>
    <row r="33" spans="1:28" ht="76" customHeight="1">
      <c r="A33" s="6" t="s">
        <v>26</v>
      </c>
      <c r="B33" s="3" t="s">
        <v>211</v>
      </c>
      <c r="C33" s="3" t="s">
        <v>220</v>
      </c>
      <c r="D33" s="13" t="s">
        <v>221</v>
      </c>
      <c r="E33" s="8">
        <v>1</v>
      </c>
      <c r="F33" s="12" t="str">
        <f t="shared" si="0"/>
        <v>Ø190 × 70</v>
      </c>
      <c r="G33" s="3" t="s">
        <v>215</v>
      </c>
      <c r="H33" s="3" t="s">
        <v>216</v>
      </c>
      <c r="I33" s="3" t="str">
        <f>'Quantity grades'!G16</f>
        <v>H13 ESR / specialist hot-work steel</v>
      </c>
      <c r="J33" s="3" t="s">
        <v>217</v>
      </c>
      <c r="K33" s="3" t="s">
        <v>29</v>
      </c>
      <c r="L33" s="10">
        <v>57</v>
      </c>
      <c r="M33" s="15">
        <v>57</v>
      </c>
      <c r="N33" s="10">
        <v>20</v>
      </c>
      <c r="O33" s="11">
        <v>0</v>
      </c>
      <c r="P33" s="10">
        <v>61.5</v>
      </c>
      <c r="Q33" s="10">
        <v>61.5</v>
      </c>
      <c r="R33" s="10">
        <v>40</v>
      </c>
      <c r="S33" s="10">
        <v>3</v>
      </c>
      <c r="T33" s="10">
        <v>5</v>
      </c>
      <c r="U33" s="9">
        <f t="shared" si="1"/>
        <v>180</v>
      </c>
      <c r="V33" s="9" t="str">
        <f t="shared" si="2"/>
        <v/>
      </c>
      <c r="W33" s="9">
        <f t="shared" si="3"/>
        <v>60</v>
      </c>
      <c r="X33" s="9">
        <f t="shared" si="4"/>
        <v>190</v>
      </c>
      <c r="Y33" s="9" t="str">
        <f t="shared" si="5"/>
        <v/>
      </c>
      <c r="Z33" s="9">
        <f t="shared" si="6"/>
        <v>70</v>
      </c>
      <c r="AA33" s="3" t="s">
        <v>242</v>
      </c>
      <c r="AB33" s="3" t="s">
        <v>223</v>
      </c>
    </row>
    <row r="34" spans="1:28" ht="76" customHeight="1">
      <c r="A34" s="6" t="s">
        <v>26</v>
      </c>
      <c r="B34" s="3" t="s">
        <v>211</v>
      </c>
      <c r="C34" s="3" t="s">
        <v>224</v>
      </c>
      <c r="D34" s="16" t="s">
        <v>225</v>
      </c>
      <c r="E34" s="8">
        <v>1</v>
      </c>
      <c r="F34" s="12" t="str">
        <f t="shared" si="0"/>
        <v>Ø190 × 50</v>
      </c>
      <c r="G34" s="3" t="s">
        <v>215</v>
      </c>
      <c r="H34" s="3" t="s">
        <v>216</v>
      </c>
      <c r="I34" s="3" t="s">
        <v>226</v>
      </c>
      <c r="J34" s="3" t="s">
        <v>217</v>
      </c>
      <c r="K34" s="3" t="s">
        <v>29</v>
      </c>
      <c r="L34" s="10">
        <v>180</v>
      </c>
      <c r="M34" s="15">
        <v>180</v>
      </c>
      <c r="N34" s="10">
        <v>40</v>
      </c>
      <c r="O34" s="11">
        <v>0</v>
      </c>
      <c r="P34" s="10">
        <v>0</v>
      </c>
      <c r="Q34" s="10">
        <v>0</v>
      </c>
      <c r="R34" s="10">
        <v>0</v>
      </c>
      <c r="S34" s="10">
        <v>3</v>
      </c>
      <c r="T34" s="10">
        <v>5</v>
      </c>
      <c r="U34" s="9">
        <f t="shared" si="1"/>
        <v>180</v>
      </c>
      <c r="V34" s="9" t="str">
        <f t="shared" si="2"/>
        <v/>
      </c>
      <c r="W34" s="9">
        <f t="shared" si="3"/>
        <v>40</v>
      </c>
      <c r="X34" s="9">
        <f t="shared" si="4"/>
        <v>190</v>
      </c>
      <c r="Y34" s="9" t="str">
        <f t="shared" si="5"/>
        <v/>
      </c>
      <c r="Z34" s="9">
        <f t="shared" si="6"/>
        <v>50</v>
      </c>
      <c r="AA34" s="3" t="s">
        <v>243</v>
      </c>
      <c r="AB34" s="3" t="s">
        <v>228</v>
      </c>
    </row>
    <row r="35" spans="1:28" ht="76" customHeight="1">
      <c r="A35" s="6" t="s">
        <v>34</v>
      </c>
      <c r="B35" s="3" t="s">
        <v>187</v>
      </c>
      <c r="C35" s="3" t="s">
        <v>244</v>
      </c>
      <c r="D35" s="14" t="s">
        <v>245</v>
      </c>
      <c r="E35" s="8">
        <v>1</v>
      </c>
      <c r="F35" s="12" t="str">
        <f t="shared" si="0"/>
        <v>190 × 190 × 100</v>
      </c>
      <c r="G35" s="3" t="s">
        <v>246</v>
      </c>
      <c r="H35" s="3" t="s">
        <v>247</v>
      </c>
      <c r="I35" s="3" t="str">
        <f>'Quantity grades'!G17</f>
        <v>H13</v>
      </c>
      <c r="J35" s="3" t="s">
        <v>248</v>
      </c>
      <c r="K35" s="3" t="s">
        <v>22</v>
      </c>
      <c r="L35" s="10">
        <v>100</v>
      </c>
      <c r="M35" s="10">
        <v>100</v>
      </c>
      <c r="N35" s="10">
        <v>50</v>
      </c>
      <c r="O35" s="11">
        <v>6.0000000000000001E-3</v>
      </c>
      <c r="P35" s="10">
        <v>40</v>
      </c>
      <c r="Q35" s="10">
        <v>40</v>
      </c>
      <c r="R35" s="10">
        <v>40</v>
      </c>
      <c r="S35" s="10">
        <v>3</v>
      </c>
      <c r="T35" s="10">
        <v>5</v>
      </c>
      <c r="U35" s="9">
        <f t="shared" si="1"/>
        <v>180.6</v>
      </c>
      <c r="V35" s="9">
        <f t="shared" si="2"/>
        <v>180.6</v>
      </c>
      <c r="W35" s="9">
        <f t="shared" si="3"/>
        <v>90.3</v>
      </c>
      <c r="X35" s="9">
        <f t="shared" si="4"/>
        <v>190</v>
      </c>
      <c r="Y35" s="9">
        <f t="shared" si="5"/>
        <v>190</v>
      </c>
      <c r="Z35" s="9">
        <f t="shared" si="6"/>
        <v>100</v>
      </c>
      <c r="AA35" s="3" t="s">
        <v>249</v>
      </c>
      <c r="AB35" s="3" t="s">
        <v>250</v>
      </c>
    </row>
    <row r="36" spans="1:28" ht="76" customHeight="1">
      <c r="A36" s="6" t="s">
        <v>34</v>
      </c>
      <c r="B36" s="3" t="s">
        <v>187</v>
      </c>
      <c r="C36" s="3" t="s">
        <v>251</v>
      </c>
      <c r="D36" s="13" t="s">
        <v>189</v>
      </c>
      <c r="E36" s="8">
        <v>1</v>
      </c>
      <c r="F36" s="12" t="str">
        <f t="shared" si="0"/>
        <v>175 × 175 × 90</v>
      </c>
      <c r="G36" s="3" t="s">
        <v>246</v>
      </c>
      <c r="H36" s="3" t="s">
        <v>247</v>
      </c>
      <c r="I36" s="3" t="str">
        <f>'Quantity grades'!G17</f>
        <v>H13</v>
      </c>
      <c r="J36" s="3" t="s">
        <v>248</v>
      </c>
      <c r="K36" s="3" t="s">
        <v>22</v>
      </c>
      <c r="L36" s="10">
        <v>94</v>
      </c>
      <c r="M36" s="10">
        <v>94</v>
      </c>
      <c r="N36" s="10">
        <v>47</v>
      </c>
      <c r="O36" s="11">
        <v>6.0000000000000001E-3</v>
      </c>
      <c r="P36" s="10">
        <v>35</v>
      </c>
      <c r="Q36" s="10">
        <v>35</v>
      </c>
      <c r="R36" s="10">
        <v>35</v>
      </c>
      <c r="S36" s="10">
        <v>3</v>
      </c>
      <c r="T36" s="10">
        <v>5</v>
      </c>
      <c r="U36" s="9">
        <f t="shared" si="1"/>
        <v>164.56400000000002</v>
      </c>
      <c r="V36" s="9">
        <f t="shared" si="2"/>
        <v>164.56400000000002</v>
      </c>
      <c r="W36" s="9">
        <f t="shared" si="3"/>
        <v>82.282000000000011</v>
      </c>
      <c r="X36" s="9">
        <f t="shared" si="4"/>
        <v>175</v>
      </c>
      <c r="Y36" s="9">
        <f t="shared" si="5"/>
        <v>175</v>
      </c>
      <c r="Z36" s="9">
        <f t="shared" si="6"/>
        <v>90</v>
      </c>
      <c r="AA36" s="3" t="s">
        <v>252</v>
      </c>
      <c r="AB36" s="3" t="s">
        <v>253</v>
      </c>
    </row>
    <row r="37" spans="1:28" ht="76" customHeight="1">
      <c r="A37" s="6" t="s">
        <v>34</v>
      </c>
      <c r="B37" s="3" t="s">
        <v>199</v>
      </c>
      <c r="C37" s="3" t="s">
        <v>244</v>
      </c>
      <c r="D37" s="14" t="s">
        <v>245</v>
      </c>
      <c r="E37" s="8">
        <v>1</v>
      </c>
      <c r="F37" s="12" t="str">
        <f t="shared" si="0"/>
        <v>190 × 190 × 100</v>
      </c>
      <c r="G37" s="3" t="s">
        <v>246</v>
      </c>
      <c r="H37" s="3" t="s">
        <v>247</v>
      </c>
      <c r="I37" s="3" t="str">
        <f>'Quantity grades'!G18</f>
        <v>H13</v>
      </c>
      <c r="J37" s="3" t="s">
        <v>248</v>
      </c>
      <c r="K37" s="3" t="s">
        <v>22</v>
      </c>
      <c r="L37" s="10">
        <v>100</v>
      </c>
      <c r="M37" s="10">
        <v>100</v>
      </c>
      <c r="N37" s="10">
        <v>50</v>
      </c>
      <c r="O37" s="11">
        <v>6.0000000000000001E-3</v>
      </c>
      <c r="P37" s="10">
        <v>40</v>
      </c>
      <c r="Q37" s="10">
        <v>40</v>
      </c>
      <c r="R37" s="10">
        <v>40</v>
      </c>
      <c r="S37" s="10">
        <v>3</v>
      </c>
      <c r="T37" s="10">
        <v>5</v>
      </c>
      <c r="U37" s="9">
        <f t="shared" si="1"/>
        <v>180.6</v>
      </c>
      <c r="V37" s="9">
        <f t="shared" si="2"/>
        <v>180.6</v>
      </c>
      <c r="W37" s="9">
        <f t="shared" si="3"/>
        <v>90.3</v>
      </c>
      <c r="X37" s="9">
        <f t="shared" si="4"/>
        <v>190</v>
      </c>
      <c r="Y37" s="9">
        <f t="shared" si="5"/>
        <v>190</v>
      </c>
      <c r="Z37" s="9">
        <f t="shared" si="6"/>
        <v>100</v>
      </c>
      <c r="AA37" s="3" t="s">
        <v>254</v>
      </c>
      <c r="AB37" s="3" t="s">
        <v>250</v>
      </c>
    </row>
    <row r="38" spans="1:28" ht="76" customHeight="1">
      <c r="A38" s="6" t="s">
        <v>34</v>
      </c>
      <c r="B38" s="3" t="s">
        <v>199</v>
      </c>
      <c r="C38" s="3" t="s">
        <v>251</v>
      </c>
      <c r="D38" s="13" t="s">
        <v>189</v>
      </c>
      <c r="E38" s="8">
        <v>1</v>
      </c>
      <c r="F38" s="12" t="str">
        <f t="shared" si="0"/>
        <v>175 × 175 × 90</v>
      </c>
      <c r="G38" s="3" t="s">
        <v>246</v>
      </c>
      <c r="H38" s="3" t="s">
        <v>247</v>
      </c>
      <c r="I38" s="3" t="str">
        <f>'Quantity grades'!G18</f>
        <v>H13</v>
      </c>
      <c r="J38" s="3" t="s">
        <v>248</v>
      </c>
      <c r="K38" s="3" t="s">
        <v>22</v>
      </c>
      <c r="L38" s="10">
        <v>94</v>
      </c>
      <c r="M38" s="10">
        <v>94</v>
      </c>
      <c r="N38" s="10">
        <v>47</v>
      </c>
      <c r="O38" s="11">
        <v>6.0000000000000001E-3</v>
      </c>
      <c r="P38" s="10">
        <v>35</v>
      </c>
      <c r="Q38" s="10">
        <v>35</v>
      </c>
      <c r="R38" s="10">
        <v>35</v>
      </c>
      <c r="S38" s="10">
        <v>3</v>
      </c>
      <c r="T38" s="10">
        <v>5</v>
      </c>
      <c r="U38" s="9">
        <f t="shared" si="1"/>
        <v>164.56400000000002</v>
      </c>
      <c r="V38" s="9">
        <f t="shared" si="2"/>
        <v>164.56400000000002</v>
      </c>
      <c r="W38" s="9">
        <f t="shared" si="3"/>
        <v>82.282000000000011</v>
      </c>
      <c r="X38" s="9">
        <f t="shared" si="4"/>
        <v>175</v>
      </c>
      <c r="Y38" s="9">
        <f t="shared" si="5"/>
        <v>175</v>
      </c>
      <c r="Z38" s="9">
        <f t="shared" si="6"/>
        <v>90</v>
      </c>
      <c r="AA38" s="3" t="s">
        <v>255</v>
      </c>
      <c r="AB38" s="3" t="s">
        <v>253</v>
      </c>
    </row>
    <row r="39" spans="1:28" ht="76" customHeight="1">
      <c r="A39" s="6" t="s">
        <v>34</v>
      </c>
      <c r="B39" s="3" t="s">
        <v>202</v>
      </c>
      <c r="C39" s="3" t="s">
        <v>244</v>
      </c>
      <c r="D39" s="14" t="s">
        <v>245</v>
      </c>
      <c r="E39" s="8">
        <v>1</v>
      </c>
      <c r="F39" s="12" t="str">
        <f t="shared" si="0"/>
        <v>190 × 190 × 100</v>
      </c>
      <c r="G39" s="3" t="s">
        <v>246</v>
      </c>
      <c r="H39" s="3" t="s">
        <v>247</v>
      </c>
      <c r="I39" s="3" t="str">
        <f>'Quantity grades'!G19</f>
        <v>H13</v>
      </c>
      <c r="J39" s="3" t="s">
        <v>248</v>
      </c>
      <c r="K39" s="3" t="s">
        <v>22</v>
      </c>
      <c r="L39" s="10">
        <v>100</v>
      </c>
      <c r="M39" s="10">
        <v>100</v>
      </c>
      <c r="N39" s="10">
        <v>50</v>
      </c>
      <c r="O39" s="11">
        <v>6.0000000000000001E-3</v>
      </c>
      <c r="P39" s="10">
        <v>40</v>
      </c>
      <c r="Q39" s="10">
        <v>40</v>
      </c>
      <c r="R39" s="10">
        <v>40</v>
      </c>
      <c r="S39" s="10">
        <v>3</v>
      </c>
      <c r="T39" s="10">
        <v>5</v>
      </c>
      <c r="U39" s="9">
        <f t="shared" si="1"/>
        <v>180.6</v>
      </c>
      <c r="V39" s="9">
        <f t="shared" si="2"/>
        <v>180.6</v>
      </c>
      <c r="W39" s="9">
        <f t="shared" si="3"/>
        <v>90.3</v>
      </c>
      <c r="X39" s="9">
        <f t="shared" si="4"/>
        <v>190</v>
      </c>
      <c r="Y39" s="9">
        <f t="shared" si="5"/>
        <v>190</v>
      </c>
      <c r="Z39" s="9">
        <f t="shared" si="6"/>
        <v>100</v>
      </c>
      <c r="AA39" s="3" t="s">
        <v>256</v>
      </c>
      <c r="AB39" s="3" t="s">
        <v>250</v>
      </c>
    </row>
    <row r="40" spans="1:28" ht="76" customHeight="1">
      <c r="A40" s="6" t="s">
        <v>34</v>
      </c>
      <c r="B40" s="3" t="s">
        <v>202</v>
      </c>
      <c r="C40" s="3" t="s">
        <v>251</v>
      </c>
      <c r="D40" s="13" t="s">
        <v>189</v>
      </c>
      <c r="E40" s="8">
        <v>1</v>
      </c>
      <c r="F40" s="12" t="str">
        <f t="shared" si="0"/>
        <v>175 × 175 × 90</v>
      </c>
      <c r="G40" s="3" t="s">
        <v>246</v>
      </c>
      <c r="H40" s="3" t="s">
        <v>247</v>
      </c>
      <c r="I40" s="3" t="str">
        <f>'Quantity grades'!G19</f>
        <v>H13</v>
      </c>
      <c r="J40" s="3" t="s">
        <v>248</v>
      </c>
      <c r="K40" s="3" t="s">
        <v>22</v>
      </c>
      <c r="L40" s="10">
        <v>94</v>
      </c>
      <c r="M40" s="10">
        <v>94</v>
      </c>
      <c r="N40" s="10">
        <v>47</v>
      </c>
      <c r="O40" s="11">
        <v>6.0000000000000001E-3</v>
      </c>
      <c r="P40" s="10">
        <v>35</v>
      </c>
      <c r="Q40" s="10">
        <v>35</v>
      </c>
      <c r="R40" s="10">
        <v>35</v>
      </c>
      <c r="S40" s="10">
        <v>3</v>
      </c>
      <c r="T40" s="10">
        <v>5</v>
      </c>
      <c r="U40" s="9">
        <f t="shared" si="1"/>
        <v>164.56400000000002</v>
      </c>
      <c r="V40" s="9">
        <f t="shared" si="2"/>
        <v>164.56400000000002</v>
      </c>
      <c r="W40" s="9">
        <f t="shared" si="3"/>
        <v>82.282000000000011</v>
      </c>
      <c r="X40" s="9">
        <f t="shared" si="4"/>
        <v>175</v>
      </c>
      <c r="Y40" s="9">
        <f t="shared" si="5"/>
        <v>175</v>
      </c>
      <c r="Z40" s="9">
        <f t="shared" si="6"/>
        <v>90</v>
      </c>
      <c r="AA40" s="3" t="s">
        <v>257</v>
      </c>
      <c r="AB40" s="3" t="s">
        <v>253</v>
      </c>
    </row>
    <row r="41" spans="1:28" ht="76" customHeight="1">
      <c r="A41" s="6" t="s">
        <v>34</v>
      </c>
      <c r="B41" s="3" t="s">
        <v>205</v>
      </c>
      <c r="C41" s="3" t="s">
        <v>244</v>
      </c>
      <c r="D41" s="14" t="s">
        <v>245</v>
      </c>
      <c r="E41" s="8">
        <v>1</v>
      </c>
      <c r="F41" s="12" t="str">
        <f t="shared" si="0"/>
        <v>190 × 190 × 100</v>
      </c>
      <c r="G41" s="3" t="s">
        <v>246</v>
      </c>
      <c r="H41" s="3" t="s">
        <v>247</v>
      </c>
      <c r="I41" s="3" t="str">
        <f>'Quantity grades'!G20</f>
        <v>H13; ESR where required</v>
      </c>
      <c r="J41" s="3" t="s">
        <v>248</v>
      </c>
      <c r="K41" s="3" t="s">
        <v>22</v>
      </c>
      <c r="L41" s="10">
        <v>100</v>
      </c>
      <c r="M41" s="10">
        <v>100</v>
      </c>
      <c r="N41" s="10">
        <v>50</v>
      </c>
      <c r="O41" s="11">
        <v>6.0000000000000001E-3</v>
      </c>
      <c r="P41" s="10">
        <v>40</v>
      </c>
      <c r="Q41" s="10">
        <v>40</v>
      </c>
      <c r="R41" s="10">
        <v>40</v>
      </c>
      <c r="S41" s="10">
        <v>3</v>
      </c>
      <c r="T41" s="10">
        <v>5</v>
      </c>
      <c r="U41" s="9">
        <f t="shared" si="1"/>
        <v>180.6</v>
      </c>
      <c r="V41" s="9">
        <f t="shared" si="2"/>
        <v>180.6</v>
      </c>
      <c r="W41" s="9">
        <f t="shared" si="3"/>
        <v>90.3</v>
      </c>
      <c r="X41" s="9">
        <f t="shared" si="4"/>
        <v>190</v>
      </c>
      <c r="Y41" s="9">
        <f t="shared" si="5"/>
        <v>190</v>
      </c>
      <c r="Z41" s="9">
        <f t="shared" si="6"/>
        <v>100</v>
      </c>
      <c r="AA41" s="3" t="s">
        <v>258</v>
      </c>
      <c r="AB41" s="3" t="s">
        <v>250</v>
      </c>
    </row>
    <row r="42" spans="1:28" ht="76" customHeight="1">
      <c r="A42" s="6" t="s">
        <v>34</v>
      </c>
      <c r="B42" s="3" t="s">
        <v>205</v>
      </c>
      <c r="C42" s="3" t="s">
        <v>251</v>
      </c>
      <c r="D42" s="13" t="s">
        <v>189</v>
      </c>
      <c r="E42" s="8">
        <v>1</v>
      </c>
      <c r="F42" s="12" t="str">
        <f t="shared" si="0"/>
        <v>175 × 175 × 90</v>
      </c>
      <c r="G42" s="3" t="s">
        <v>246</v>
      </c>
      <c r="H42" s="3" t="s">
        <v>247</v>
      </c>
      <c r="I42" s="3" t="str">
        <f>'Quantity grades'!G20</f>
        <v>H13; ESR where required</v>
      </c>
      <c r="J42" s="3" t="s">
        <v>248</v>
      </c>
      <c r="K42" s="3" t="s">
        <v>22</v>
      </c>
      <c r="L42" s="10">
        <v>94</v>
      </c>
      <c r="M42" s="10">
        <v>94</v>
      </c>
      <c r="N42" s="10">
        <v>47</v>
      </c>
      <c r="O42" s="11">
        <v>6.0000000000000001E-3</v>
      </c>
      <c r="P42" s="10">
        <v>35</v>
      </c>
      <c r="Q42" s="10">
        <v>35</v>
      </c>
      <c r="R42" s="10">
        <v>35</v>
      </c>
      <c r="S42" s="10">
        <v>3</v>
      </c>
      <c r="T42" s="10">
        <v>5</v>
      </c>
      <c r="U42" s="9">
        <f t="shared" si="1"/>
        <v>164.56400000000002</v>
      </c>
      <c r="V42" s="9">
        <f t="shared" si="2"/>
        <v>164.56400000000002</v>
      </c>
      <c r="W42" s="9">
        <f t="shared" si="3"/>
        <v>82.282000000000011</v>
      </c>
      <c r="X42" s="9">
        <f t="shared" si="4"/>
        <v>175</v>
      </c>
      <c r="Y42" s="9">
        <f t="shared" si="5"/>
        <v>175</v>
      </c>
      <c r="Z42" s="9">
        <f t="shared" si="6"/>
        <v>90</v>
      </c>
      <c r="AA42" s="3" t="s">
        <v>259</v>
      </c>
      <c r="AB42" s="3" t="s">
        <v>253</v>
      </c>
    </row>
    <row r="43" spans="1:28" ht="76" customHeight="1">
      <c r="A43" s="6" t="s">
        <v>34</v>
      </c>
      <c r="B43" s="3" t="s">
        <v>208</v>
      </c>
      <c r="C43" s="3" t="s">
        <v>244</v>
      </c>
      <c r="D43" s="14" t="s">
        <v>245</v>
      </c>
      <c r="E43" s="8">
        <v>1</v>
      </c>
      <c r="F43" s="12" t="str">
        <f t="shared" si="0"/>
        <v>190 × 190 × 100</v>
      </c>
      <c r="G43" s="3" t="s">
        <v>246</v>
      </c>
      <c r="H43" s="3" t="s">
        <v>247</v>
      </c>
      <c r="I43" s="3" t="str">
        <f>'Quantity grades'!G21</f>
        <v>H13 ESR</v>
      </c>
      <c r="J43" s="3" t="s">
        <v>248</v>
      </c>
      <c r="K43" s="3" t="s">
        <v>22</v>
      </c>
      <c r="L43" s="10">
        <v>100</v>
      </c>
      <c r="M43" s="10">
        <v>100</v>
      </c>
      <c r="N43" s="10">
        <v>50</v>
      </c>
      <c r="O43" s="11">
        <v>6.0000000000000001E-3</v>
      </c>
      <c r="P43" s="10">
        <v>40</v>
      </c>
      <c r="Q43" s="10">
        <v>40</v>
      </c>
      <c r="R43" s="10">
        <v>40</v>
      </c>
      <c r="S43" s="10">
        <v>3</v>
      </c>
      <c r="T43" s="10">
        <v>5</v>
      </c>
      <c r="U43" s="9">
        <f t="shared" si="1"/>
        <v>180.6</v>
      </c>
      <c r="V43" s="9">
        <f t="shared" si="2"/>
        <v>180.6</v>
      </c>
      <c r="W43" s="9">
        <f t="shared" si="3"/>
        <v>90.3</v>
      </c>
      <c r="X43" s="9">
        <f t="shared" si="4"/>
        <v>190</v>
      </c>
      <c r="Y43" s="9">
        <f t="shared" si="5"/>
        <v>190</v>
      </c>
      <c r="Z43" s="9">
        <f t="shared" si="6"/>
        <v>100</v>
      </c>
      <c r="AA43" s="3" t="s">
        <v>260</v>
      </c>
      <c r="AB43" s="3" t="s">
        <v>250</v>
      </c>
    </row>
    <row r="44" spans="1:28" ht="76" customHeight="1">
      <c r="A44" s="6" t="s">
        <v>34</v>
      </c>
      <c r="B44" s="3" t="s">
        <v>208</v>
      </c>
      <c r="C44" s="3" t="s">
        <v>251</v>
      </c>
      <c r="D44" s="13" t="s">
        <v>189</v>
      </c>
      <c r="E44" s="8">
        <v>1</v>
      </c>
      <c r="F44" s="12" t="str">
        <f t="shared" si="0"/>
        <v>175 × 175 × 90</v>
      </c>
      <c r="G44" s="3" t="s">
        <v>246</v>
      </c>
      <c r="H44" s="3" t="s">
        <v>247</v>
      </c>
      <c r="I44" s="3" t="str">
        <f>'Quantity grades'!G21</f>
        <v>H13 ESR</v>
      </c>
      <c r="J44" s="3" t="s">
        <v>248</v>
      </c>
      <c r="K44" s="3" t="s">
        <v>22</v>
      </c>
      <c r="L44" s="10">
        <v>94</v>
      </c>
      <c r="M44" s="10">
        <v>94</v>
      </c>
      <c r="N44" s="10">
        <v>47</v>
      </c>
      <c r="O44" s="11">
        <v>6.0000000000000001E-3</v>
      </c>
      <c r="P44" s="10">
        <v>35</v>
      </c>
      <c r="Q44" s="10">
        <v>35</v>
      </c>
      <c r="R44" s="10">
        <v>35</v>
      </c>
      <c r="S44" s="10">
        <v>3</v>
      </c>
      <c r="T44" s="10">
        <v>5</v>
      </c>
      <c r="U44" s="9">
        <f t="shared" si="1"/>
        <v>164.56400000000002</v>
      </c>
      <c r="V44" s="9">
        <f t="shared" si="2"/>
        <v>164.56400000000002</v>
      </c>
      <c r="W44" s="9">
        <f t="shared" si="3"/>
        <v>82.282000000000011</v>
      </c>
      <c r="X44" s="9">
        <f t="shared" si="4"/>
        <v>175</v>
      </c>
      <c r="Y44" s="9">
        <f t="shared" si="5"/>
        <v>175</v>
      </c>
      <c r="Z44" s="9">
        <f t="shared" si="6"/>
        <v>90</v>
      </c>
      <c r="AA44" s="3" t="s">
        <v>261</v>
      </c>
      <c r="AB44" s="3" t="s">
        <v>253</v>
      </c>
    </row>
    <row r="45" spans="1:28" ht="76" customHeight="1">
      <c r="A45" s="6" t="s">
        <v>34</v>
      </c>
      <c r="B45" s="3" t="s">
        <v>211</v>
      </c>
      <c r="C45" s="3" t="s">
        <v>244</v>
      </c>
      <c r="D45" s="14" t="s">
        <v>245</v>
      </c>
      <c r="E45" s="8">
        <v>1</v>
      </c>
      <c r="F45" s="12" t="str">
        <f t="shared" si="0"/>
        <v>190 × 190 × 100</v>
      </c>
      <c r="G45" s="3" t="s">
        <v>246</v>
      </c>
      <c r="H45" s="3" t="s">
        <v>247</v>
      </c>
      <c r="I45" s="3" t="str">
        <f>'Quantity grades'!G22</f>
        <v>H13 ESR / Dievar</v>
      </c>
      <c r="J45" s="3" t="s">
        <v>248</v>
      </c>
      <c r="K45" s="3" t="s">
        <v>22</v>
      </c>
      <c r="L45" s="10">
        <v>100</v>
      </c>
      <c r="M45" s="10">
        <v>100</v>
      </c>
      <c r="N45" s="10">
        <v>50</v>
      </c>
      <c r="O45" s="11">
        <v>6.0000000000000001E-3</v>
      </c>
      <c r="P45" s="10">
        <v>40</v>
      </c>
      <c r="Q45" s="10">
        <v>40</v>
      </c>
      <c r="R45" s="10">
        <v>40</v>
      </c>
      <c r="S45" s="10">
        <v>3</v>
      </c>
      <c r="T45" s="10">
        <v>5</v>
      </c>
      <c r="U45" s="9">
        <f t="shared" si="1"/>
        <v>180.6</v>
      </c>
      <c r="V45" s="9">
        <f t="shared" si="2"/>
        <v>180.6</v>
      </c>
      <c r="W45" s="9">
        <f t="shared" si="3"/>
        <v>90.3</v>
      </c>
      <c r="X45" s="9">
        <f t="shared" si="4"/>
        <v>190</v>
      </c>
      <c r="Y45" s="9">
        <f t="shared" si="5"/>
        <v>190</v>
      </c>
      <c r="Z45" s="9">
        <f t="shared" si="6"/>
        <v>100</v>
      </c>
      <c r="AA45" s="3" t="s">
        <v>262</v>
      </c>
      <c r="AB45" s="3" t="s">
        <v>250</v>
      </c>
    </row>
    <row r="46" spans="1:28" ht="76" customHeight="1">
      <c r="A46" s="6" t="s">
        <v>34</v>
      </c>
      <c r="B46" s="3" t="s">
        <v>211</v>
      </c>
      <c r="C46" s="3" t="s">
        <v>251</v>
      </c>
      <c r="D46" s="13" t="s">
        <v>189</v>
      </c>
      <c r="E46" s="8">
        <v>1</v>
      </c>
      <c r="F46" s="12" t="str">
        <f t="shared" si="0"/>
        <v>175 × 175 × 90</v>
      </c>
      <c r="G46" s="3" t="s">
        <v>246</v>
      </c>
      <c r="H46" s="3" t="s">
        <v>247</v>
      </c>
      <c r="I46" s="3" t="str">
        <f>'Quantity grades'!G22</f>
        <v>H13 ESR / Dievar</v>
      </c>
      <c r="J46" s="3" t="s">
        <v>248</v>
      </c>
      <c r="K46" s="3" t="s">
        <v>22</v>
      </c>
      <c r="L46" s="10">
        <v>94</v>
      </c>
      <c r="M46" s="10">
        <v>94</v>
      </c>
      <c r="N46" s="10">
        <v>47</v>
      </c>
      <c r="O46" s="11">
        <v>6.0000000000000001E-3</v>
      </c>
      <c r="P46" s="10">
        <v>35</v>
      </c>
      <c r="Q46" s="10">
        <v>35</v>
      </c>
      <c r="R46" s="10">
        <v>35</v>
      </c>
      <c r="S46" s="10">
        <v>3</v>
      </c>
      <c r="T46" s="10">
        <v>5</v>
      </c>
      <c r="U46" s="9">
        <f t="shared" si="1"/>
        <v>164.56400000000002</v>
      </c>
      <c r="V46" s="9">
        <f t="shared" si="2"/>
        <v>164.56400000000002</v>
      </c>
      <c r="W46" s="9">
        <f t="shared" si="3"/>
        <v>82.282000000000011</v>
      </c>
      <c r="X46" s="9">
        <f t="shared" si="4"/>
        <v>175</v>
      </c>
      <c r="Y46" s="9">
        <f t="shared" si="5"/>
        <v>175</v>
      </c>
      <c r="Z46" s="9">
        <f t="shared" si="6"/>
        <v>90</v>
      </c>
      <c r="AA46" s="3" t="s">
        <v>263</v>
      </c>
      <c r="AB46" s="3" t="s">
        <v>253</v>
      </c>
    </row>
    <row r="47" spans="1:28" ht="76" customHeight="1">
      <c r="A47" s="6" t="s">
        <v>40</v>
      </c>
      <c r="B47" s="3" t="s">
        <v>187</v>
      </c>
      <c r="C47" s="3" t="s">
        <v>264</v>
      </c>
      <c r="D47" s="13" t="s">
        <v>265</v>
      </c>
      <c r="E47" s="8">
        <v>2</v>
      </c>
      <c r="F47" s="12" t="str">
        <f t="shared" si="0"/>
        <v>110 × 110 × 70</v>
      </c>
      <c r="G47" s="3" t="s">
        <v>266</v>
      </c>
      <c r="H47" s="3" t="s">
        <v>267</v>
      </c>
      <c r="I47" s="3" t="s">
        <v>268</v>
      </c>
      <c r="J47" s="3" t="s">
        <v>269</v>
      </c>
      <c r="K47" s="3" t="s">
        <v>22</v>
      </c>
      <c r="L47" s="10">
        <v>100</v>
      </c>
      <c r="M47" s="10">
        <v>100</v>
      </c>
      <c r="N47" s="10">
        <v>50</v>
      </c>
      <c r="O47" s="11">
        <v>0.01</v>
      </c>
      <c r="P47" s="10">
        <v>0</v>
      </c>
      <c r="Q47" s="10">
        <v>0</v>
      </c>
      <c r="R47" s="10">
        <v>10</v>
      </c>
      <c r="S47" s="10">
        <v>3</v>
      </c>
      <c r="T47" s="10">
        <v>5</v>
      </c>
      <c r="U47" s="9">
        <f t="shared" si="1"/>
        <v>101</v>
      </c>
      <c r="V47" s="9">
        <f t="shared" si="2"/>
        <v>101</v>
      </c>
      <c r="W47" s="9">
        <f t="shared" si="3"/>
        <v>60.5</v>
      </c>
      <c r="X47" s="9">
        <f t="shared" si="4"/>
        <v>110</v>
      </c>
      <c r="Y47" s="9">
        <f t="shared" si="5"/>
        <v>110</v>
      </c>
      <c r="Z47" s="9">
        <f t="shared" si="6"/>
        <v>70</v>
      </c>
      <c r="AA47" s="3" t="s">
        <v>270</v>
      </c>
      <c r="AB47" s="3" t="s">
        <v>271</v>
      </c>
    </row>
    <row r="48" spans="1:28" ht="76" customHeight="1">
      <c r="A48" s="6" t="s">
        <v>40</v>
      </c>
      <c r="B48" s="3" t="s">
        <v>187</v>
      </c>
      <c r="C48" s="3" t="s">
        <v>272</v>
      </c>
      <c r="D48" s="16" t="s">
        <v>225</v>
      </c>
      <c r="E48" s="8">
        <v>1</v>
      </c>
      <c r="F48" s="12" t="str">
        <f t="shared" si="0"/>
        <v>180 × 180 × 30</v>
      </c>
      <c r="G48" s="3" t="s">
        <v>266</v>
      </c>
      <c r="H48" s="3" t="s">
        <v>267</v>
      </c>
      <c r="I48" s="3" t="s">
        <v>273</v>
      </c>
      <c r="J48" s="3" t="s">
        <v>269</v>
      </c>
      <c r="K48" s="3" t="s">
        <v>22</v>
      </c>
      <c r="L48" s="10">
        <v>170</v>
      </c>
      <c r="M48" s="10">
        <v>170</v>
      </c>
      <c r="N48" s="10">
        <v>20</v>
      </c>
      <c r="O48" s="11">
        <v>0</v>
      </c>
      <c r="P48" s="10">
        <v>0</v>
      </c>
      <c r="Q48" s="10">
        <v>0</v>
      </c>
      <c r="R48" s="10">
        <v>0</v>
      </c>
      <c r="S48" s="10">
        <v>3</v>
      </c>
      <c r="T48" s="10">
        <v>5</v>
      </c>
      <c r="U48" s="9">
        <f t="shared" si="1"/>
        <v>170</v>
      </c>
      <c r="V48" s="9">
        <f t="shared" si="2"/>
        <v>170</v>
      </c>
      <c r="W48" s="9">
        <f t="shared" si="3"/>
        <v>20</v>
      </c>
      <c r="X48" s="9">
        <f t="shared" si="4"/>
        <v>180</v>
      </c>
      <c r="Y48" s="9">
        <f t="shared" si="5"/>
        <v>180</v>
      </c>
      <c r="Z48" s="9">
        <f t="shared" si="6"/>
        <v>30</v>
      </c>
      <c r="AA48" s="3" t="s">
        <v>274</v>
      </c>
      <c r="AB48" s="3" t="s">
        <v>275</v>
      </c>
    </row>
    <row r="49" spans="1:28" ht="76" customHeight="1">
      <c r="A49" s="6" t="s">
        <v>40</v>
      </c>
      <c r="B49" s="3" t="s">
        <v>199</v>
      </c>
      <c r="C49" s="3" t="s">
        <v>264</v>
      </c>
      <c r="D49" s="13" t="s">
        <v>265</v>
      </c>
      <c r="E49" s="8">
        <v>2</v>
      </c>
      <c r="F49" s="12" t="str">
        <f t="shared" si="0"/>
        <v>110 × 110 × 70</v>
      </c>
      <c r="G49" s="3" t="s">
        <v>266</v>
      </c>
      <c r="H49" s="3" t="s">
        <v>267</v>
      </c>
      <c r="I49" s="3" t="s">
        <v>268</v>
      </c>
      <c r="J49" s="3" t="s">
        <v>269</v>
      </c>
      <c r="K49" s="3" t="s">
        <v>22</v>
      </c>
      <c r="L49" s="10">
        <v>100</v>
      </c>
      <c r="M49" s="10">
        <v>100</v>
      </c>
      <c r="N49" s="10">
        <v>50</v>
      </c>
      <c r="O49" s="11">
        <v>0.01</v>
      </c>
      <c r="P49" s="10">
        <v>0</v>
      </c>
      <c r="Q49" s="10">
        <v>0</v>
      </c>
      <c r="R49" s="10">
        <v>10</v>
      </c>
      <c r="S49" s="10">
        <v>3</v>
      </c>
      <c r="T49" s="10">
        <v>5</v>
      </c>
      <c r="U49" s="9">
        <f t="shared" si="1"/>
        <v>101</v>
      </c>
      <c r="V49" s="9">
        <f t="shared" si="2"/>
        <v>101</v>
      </c>
      <c r="W49" s="9">
        <f t="shared" si="3"/>
        <v>60.5</v>
      </c>
      <c r="X49" s="9">
        <f t="shared" si="4"/>
        <v>110</v>
      </c>
      <c r="Y49" s="9">
        <f t="shared" si="5"/>
        <v>110</v>
      </c>
      <c r="Z49" s="9">
        <f t="shared" si="6"/>
        <v>70</v>
      </c>
      <c r="AA49" s="3" t="s">
        <v>276</v>
      </c>
      <c r="AB49" s="3" t="s">
        <v>271</v>
      </c>
    </row>
    <row r="50" spans="1:28" ht="76" customHeight="1">
      <c r="A50" s="6" t="s">
        <v>40</v>
      </c>
      <c r="B50" s="3" t="s">
        <v>199</v>
      </c>
      <c r="C50" s="3" t="s">
        <v>272</v>
      </c>
      <c r="D50" s="16" t="s">
        <v>225</v>
      </c>
      <c r="E50" s="8">
        <v>1</v>
      </c>
      <c r="F50" s="12" t="str">
        <f t="shared" si="0"/>
        <v>180 × 180 × 30</v>
      </c>
      <c r="G50" s="3" t="s">
        <v>266</v>
      </c>
      <c r="H50" s="3" t="s">
        <v>267</v>
      </c>
      <c r="I50" s="3" t="s">
        <v>273</v>
      </c>
      <c r="J50" s="3" t="s">
        <v>269</v>
      </c>
      <c r="K50" s="3" t="s">
        <v>22</v>
      </c>
      <c r="L50" s="10">
        <v>170</v>
      </c>
      <c r="M50" s="10">
        <v>170</v>
      </c>
      <c r="N50" s="10">
        <v>20</v>
      </c>
      <c r="O50" s="11">
        <v>0</v>
      </c>
      <c r="P50" s="10">
        <v>0</v>
      </c>
      <c r="Q50" s="10">
        <v>0</v>
      </c>
      <c r="R50" s="10">
        <v>0</v>
      </c>
      <c r="S50" s="10">
        <v>3</v>
      </c>
      <c r="T50" s="10">
        <v>5</v>
      </c>
      <c r="U50" s="9">
        <f t="shared" si="1"/>
        <v>170</v>
      </c>
      <c r="V50" s="9">
        <f t="shared" si="2"/>
        <v>170</v>
      </c>
      <c r="W50" s="9">
        <f t="shared" si="3"/>
        <v>20</v>
      </c>
      <c r="X50" s="9">
        <f t="shared" si="4"/>
        <v>180</v>
      </c>
      <c r="Y50" s="9">
        <f t="shared" si="5"/>
        <v>180</v>
      </c>
      <c r="Z50" s="9">
        <f t="shared" si="6"/>
        <v>30</v>
      </c>
      <c r="AA50" s="3" t="s">
        <v>277</v>
      </c>
      <c r="AB50" s="3" t="s">
        <v>275</v>
      </c>
    </row>
    <row r="51" spans="1:28" ht="76" customHeight="1">
      <c r="A51" s="6" t="s">
        <v>40</v>
      </c>
      <c r="B51" s="3" t="s">
        <v>202</v>
      </c>
      <c r="C51" s="3" t="s">
        <v>264</v>
      </c>
      <c r="D51" s="13" t="s">
        <v>265</v>
      </c>
      <c r="E51" s="8">
        <v>2</v>
      </c>
      <c r="F51" s="12" t="str">
        <f t="shared" si="0"/>
        <v>110 × 110 × 70</v>
      </c>
      <c r="G51" s="3" t="s">
        <v>266</v>
      </c>
      <c r="H51" s="3" t="s">
        <v>267</v>
      </c>
      <c r="I51" s="3" t="s">
        <v>268</v>
      </c>
      <c r="J51" s="3" t="s">
        <v>269</v>
      </c>
      <c r="K51" s="3" t="s">
        <v>22</v>
      </c>
      <c r="L51" s="10">
        <v>100</v>
      </c>
      <c r="M51" s="10">
        <v>100</v>
      </c>
      <c r="N51" s="10">
        <v>50</v>
      </c>
      <c r="O51" s="11">
        <v>0.01</v>
      </c>
      <c r="P51" s="10">
        <v>0</v>
      </c>
      <c r="Q51" s="10">
        <v>0</v>
      </c>
      <c r="R51" s="10">
        <v>10</v>
      </c>
      <c r="S51" s="10">
        <v>3</v>
      </c>
      <c r="T51" s="10">
        <v>5</v>
      </c>
      <c r="U51" s="9">
        <f t="shared" si="1"/>
        <v>101</v>
      </c>
      <c r="V51" s="9">
        <f t="shared" si="2"/>
        <v>101</v>
      </c>
      <c r="W51" s="9">
        <f t="shared" si="3"/>
        <v>60.5</v>
      </c>
      <c r="X51" s="9">
        <f t="shared" si="4"/>
        <v>110</v>
      </c>
      <c r="Y51" s="9">
        <f t="shared" si="5"/>
        <v>110</v>
      </c>
      <c r="Z51" s="9">
        <f t="shared" si="6"/>
        <v>70</v>
      </c>
      <c r="AA51" s="3" t="s">
        <v>278</v>
      </c>
      <c r="AB51" s="3" t="s">
        <v>271</v>
      </c>
    </row>
    <row r="52" spans="1:28" ht="76" customHeight="1">
      <c r="A52" s="6" t="s">
        <v>40</v>
      </c>
      <c r="B52" s="3" t="s">
        <v>202</v>
      </c>
      <c r="C52" s="3" t="s">
        <v>272</v>
      </c>
      <c r="D52" s="16" t="s">
        <v>225</v>
      </c>
      <c r="E52" s="8">
        <v>1</v>
      </c>
      <c r="F52" s="12" t="str">
        <f t="shared" si="0"/>
        <v>180 × 180 × 30</v>
      </c>
      <c r="G52" s="3" t="s">
        <v>266</v>
      </c>
      <c r="H52" s="3" t="s">
        <v>267</v>
      </c>
      <c r="I52" s="3" t="s">
        <v>273</v>
      </c>
      <c r="J52" s="3" t="s">
        <v>269</v>
      </c>
      <c r="K52" s="3" t="s">
        <v>22</v>
      </c>
      <c r="L52" s="10">
        <v>170</v>
      </c>
      <c r="M52" s="10">
        <v>170</v>
      </c>
      <c r="N52" s="10">
        <v>20</v>
      </c>
      <c r="O52" s="11">
        <v>0</v>
      </c>
      <c r="P52" s="10">
        <v>0</v>
      </c>
      <c r="Q52" s="10">
        <v>0</v>
      </c>
      <c r="R52" s="10">
        <v>0</v>
      </c>
      <c r="S52" s="10">
        <v>3</v>
      </c>
      <c r="T52" s="10">
        <v>5</v>
      </c>
      <c r="U52" s="9">
        <f t="shared" si="1"/>
        <v>170</v>
      </c>
      <c r="V52" s="9">
        <f t="shared" si="2"/>
        <v>170</v>
      </c>
      <c r="W52" s="9">
        <f t="shared" si="3"/>
        <v>20</v>
      </c>
      <c r="X52" s="9">
        <f t="shared" si="4"/>
        <v>180</v>
      </c>
      <c r="Y52" s="9">
        <f t="shared" si="5"/>
        <v>180</v>
      </c>
      <c r="Z52" s="9">
        <f t="shared" si="6"/>
        <v>30</v>
      </c>
      <c r="AA52" s="3" t="s">
        <v>279</v>
      </c>
      <c r="AB52" s="3" t="s">
        <v>275</v>
      </c>
    </row>
    <row r="53" spans="1:28" ht="76" customHeight="1">
      <c r="A53" s="6" t="s">
        <v>40</v>
      </c>
      <c r="B53" s="3" t="s">
        <v>205</v>
      </c>
      <c r="C53" s="3" t="s">
        <v>264</v>
      </c>
      <c r="D53" s="13" t="s">
        <v>265</v>
      </c>
      <c r="E53" s="8">
        <v>2</v>
      </c>
      <c r="F53" s="12" t="str">
        <f t="shared" si="0"/>
        <v>110 × 110 × 70</v>
      </c>
      <c r="G53" s="3" t="s">
        <v>266</v>
      </c>
      <c r="H53" s="3" t="s">
        <v>267</v>
      </c>
      <c r="I53" s="3" t="s">
        <v>268</v>
      </c>
      <c r="J53" s="3" t="s">
        <v>269</v>
      </c>
      <c r="K53" s="3" t="s">
        <v>22</v>
      </c>
      <c r="L53" s="10">
        <v>100</v>
      </c>
      <c r="M53" s="10">
        <v>100</v>
      </c>
      <c r="N53" s="10">
        <v>50</v>
      </c>
      <c r="O53" s="11">
        <v>0.01</v>
      </c>
      <c r="P53" s="10">
        <v>0</v>
      </c>
      <c r="Q53" s="10">
        <v>0</v>
      </c>
      <c r="R53" s="10">
        <v>10</v>
      </c>
      <c r="S53" s="10">
        <v>3</v>
      </c>
      <c r="T53" s="10">
        <v>5</v>
      </c>
      <c r="U53" s="9">
        <f t="shared" si="1"/>
        <v>101</v>
      </c>
      <c r="V53" s="9">
        <f t="shared" si="2"/>
        <v>101</v>
      </c>
      <c r="W53" s="9">
        <f t="shared" si="3"/>
        <v>60.5</v>
      </c>
      <c r="X53" s="9">
        <f t="shared" si="4"/>
        <v>110</v>
      </c>
      <c r="Y53" s="9">
        <f t="shared" si="5"/>
        <v>110</v>
      </c>
      <c r="Z53" s="9">
        <f t="shared" si="6"/>
        <v>70</v>
      </c>
      <c r="AA53" s="3" t="s">
        <v>280</v>
      </c>
      <c r="AB53" s="3" t="s">
        <v>271</v>
      </c>
    </row>
    <row r="54" spans="1:28" ht="76" customHeight="1">
      <c r="A54" s="6" t="s">
        <v>40</v>
      </c>
      <c r="B54" s="3" t="s">
        <v>205</v>
      </c>
      <c r="C54" s="3" t="s">
        <v>272</v>
      </c>
      <c r="D54" s="16" t="s">
        <v>225</v>
      </c>
      <c r="E54" s="8">
        <v>1</v>
      </c>
      <c r="F54" s="12" t="str">
        <f t="shared" si="0"/>
        <v>180 × 180 × 30</v>
      </c>
      <c r="G54" s="3" t="s">
        <v>266</v>
      </c>
      <c r="H54" s="3" t="s">
        <v>267</v>
      </c>
      <c r="I54" s="3" t="s">
        <v>273</v>
      </c>
      <c r="J54" s="3" t="s">
        <v>269</v>
      </c>
      <c r="K54" s="3" t="s">
        <v>22</v>
      </c>
      <c r="L54" s="10">
        <v>170</v>
      </c>
      <c r="M54" s="10">
        <v>170</v>
      </c>
      <c r="N54" s="10">
        <v>20</v>
      </c>
      <c r="O54" s="11">
        <v>0</v>
      </c>
      <c r="P54" s="10">
        <v>0</v>
      </c>
      <c r="Q54" s="10">
        <v>0</v>
      </c>
      <c r="R54" s="10">
        <v>0</v>
      </c>
      <c r="S54" s="10">
        <v>3</v>
      </c>
      <c r="T54" s="10">
        <v>5</v>
      </c>
      <c r="U54" s="9">
        <f t="shared" si="1"/>
        <v>170</v>
      </c>
      <c r="V54" s="9">
        <f t="shared" si="2"/>
        <v>170</v>
      </c>
      <c r="W54" s="9">
        <f t="shared" si="3"/>
        <v>20</v>
      </c>
      <c r="X54" s="9">
        <f t="shared" si="4"/>
        <v>180</v>
      </c>
      <c r="Y54" s="9">
        <f t="shared" si="5"/>
        <v>180</v>
      </c>
      <c r="Z54" s="9">
        <f t="shared" si="6"/>
        <v>30</v>
      </c>
      <c r="AA54" s="3" t="s">
        <v>281</v>
      </c>
      <c r="AB54" s="3" t="s">
        <v>275</v>
      </c>
    </row>
    <row r="55" spans="1:28" ht="76" customHeight="1">
      <c r="A55" s="6" t="s">
        <v>40</v>
      </c>
      <c r="B55" s="3" t="s">
        <v>208</v>
      </c>
      <c r="C55" s="3" t="s">
        <v>264</v>
      </c>
      <c r="D55" s="13" t="s">
        <v>265</v>
      </c>
      <c r="E55" s="8">
        <v>2</v>
      </c>
      <c r="F55" s="12" t="str">
        <f t="shared" si="0"/>
        <v>110 × 110 × 70</v>
      </c>
      <c r="G55" s="3" t="s">
        <v>266</v>
      </c>
      <c r="H55" s="3" t="s">
        <v>267</v>
      </c>
      <c r="I55" s="3" t="s">
        <v>268</v>
      </c>
      <c r="J55" s="3" t="s">
        <v>269</v>
      </c>
      <c r="K55" s="3" t="s">
        <v>22</v>
      </c>
      <c r="L55" s="10">
        <v>100</v>
      </c>
      <c r="M55" s="10">
        <v>100</v>
      </c>
      <c r="N55" s="10">
        <v>50</v>
      </c>
      <c r="O55" s="11">
        <v>0.01</v>
      </c>
      <c r="P55" s="10">
        <v>0</v>
      </c>
      <c r="Q55" s="10">
        <v>0</v>
      </c>
      <c r="R55" s="10">
        <v>10</v>
      </c>
      <c r="S55" s="10">
        <v>3</v>
      </c>
      <c r="T55" s="10">
        <v>5</v>
      </c>
      <c r="U55" s="9">
        <f t="shared" si="1"/>
        <v>101</v>
      </c>
      <c r="V55" s="9">
        <f t="shared" si="2"/>
        <v>101</v>
      </c>
      <c r="W55" s="9">
        <f t="shared" si="3"/>
        <v>60.5</v>
      </c>
      <c r="X55" s="9">
        <f t="shared" si="4"/>
        <v>110</v>
      </c>
      <c r="Y55" s="9">
        <f t="shared" si="5"/>
        <v>110</v>
      </c>
      <c r="Z55" s="9">
        <f t="shared" si="6"/>
        <v>70</v>
      </c>
      <c r="AA55" s="3" t="s">
        <v>282</v>
      </c>
      <c r="AB55" s="3" t="s">
        <v>271</v>
      </c>
    </row>
    <row r="56" spans="1:28" ht="76" customHeight="1">
      <c r="A56" s="6" t="s">
        <v>40</v>
      </c>
      <c r="B56" s="3" t="s">
        <v>208</v>
      </c>
      <c r="C56" s="3" t="s">
        <v>272</v>
      </c>
      <c r="D56" s="16" t="s">
        <v>225</v>
      </c>
      <c r="E56" s="8">
        <v>1</v>
      </c>
      <c r="F56" s="12" t="str">
        <f t="shared" si="0"/>
        <v>180 × 180 × 30</v>
      </c>
      <c r="G56" s="3" t="s">
        <v>266</v>
      </c>
      <c r="H56" s="3" t="s">
        <v>267</v>
      </c>
      <c r="I56" s="3" t="s">
        <v>273</v>
      </c>
      <c r="J56" s="3" t="s">
        <v>269</v>
      </c>
      <c r="K56" s="3" t="s">
        <v>22</v>
      </c>
      <c r="L56" s="10">
        <v>170</v>
      </c>
      <c r="M56" s="10">
        <v>170</v>
      </c>
      <c r="N56" s="10">
        <v>20</v>
      </c>
      <c r="O56" s="11">
        <v>0</v>
      </c>
      <c r="P56" s="10">
        <v>0</v>
      </c>
      <c r="Q56" s="10">
        <v>0</v>
      </c>
      <c r="R56" s="10">
        <v>0</v>
      </c>
      <c r="S56" s="10">
        <v>3</v>
      </c>
      <c r="T56" s="10">
        <v>5</v>
      </c>
      <c r="U56" s="9">
        <f t="shared" si="1"/>
        <v>170</v>
      </c>
      <c r="V56" s="9">
        <f t="shared" si="2"/>
        <v>170</v>
      </c>
      <c r="W56" s="9">
        <f t="shared" si="3"/>
        <v>20</v>
      </c>
      <c r="X56" s="9">
        <f t="shared" si="4"/>
        <v>180</v>
      </c>
      <c r="Y56" s="9">
        <f t="shared" si="5"/>
        <v>180</v>
      </c>
      <c r="Z56" s="9">
        <f t="shared" si="6"/>
        <v>30</v>
      </c>
      <c r="AA56" s="3" t="s">
        <v>283</v>
      </c>
      <c r="AB56" s="3" t="s">
        <v>275</v>
      </c>
    </row>
    <row r="57" spans="1:28" ht="76" customHeight="1">
      <c r="A57" s="6" t="s">
        <v>40</v>
      </c>
      <c r="B57" s="3" t="s">
        <v>211</v>
      </c>
      <c r="C57" s="3" t="s">
        <v>264</v>
      </c>
      <c r="D57" s="13" t="s">
        <v>265</v>
      </c>
      <c r="E57" s="8">
        <v>2</v>
      </c>
      <c r="F57" s="12" t="str">
        <f t="shared" si="0"/>
        <v>110 × 110 × 70</v>
      </c>
      <c r="G57" s="3" t="s">
        <v>266</v>
      </c>
      <c r="H57" s="3" t="s">
        <v>267</v>
      </c>
      <c r="I57" s="3" t="s">
        <v>268</v>
      </c>
      <c r="J57" s="3" t="s">
        <v>269</v>
      </c>
      <c r="K57" s="3" t="s">
        <v>22</v>
      </c>
      <c r="L57" s="10">
        <v>100</v>
      </c>
      <c r="M57" s="10">
        <v>100</v>
      </c>
      <c r="N57" s="10">
        <v>50</v>
      </c>
      <c r="O57" s="11">
        <v>0.01</v>
      </c>
      <c r="P57" s="10">
        <v>0</v>
      </c>
      <c r="Q57" s="10">
        <v>0</v>
      </c>
      <c r="R57" s="10">
        <v>10</v>
      </c>
      <c r="S57" s="10">
        <v>3</v>
      </c>
      <c r="T57" s="10">
        <v>5</v>
      </c>
      <c r="U57" s="9">
        <f t="shared" si="1"/>
        <v>101</v>
      </c>
      <c r="V57" s="9">
        <f t="shared" si="2"/>
        <v>101</v>
      </c>
      <c r="W57" s="9">
        <f t="shared" si="3"/>
        <v>60.5</v>
      </c>
      <c r="X57" s="9">
        <f t="shared" si="4"/>
        <v>110</v>
      </c>
      <c r="Y57" s="9">
        <f t="shared" si="5"/>
        <v>110</v>
      </c>
      <c r="Z57" s="9">
        <f t="shared" si="6"/>
        <v>70</v>
      </c>
      <c r="AA57" s="3" t="s">
        <v>284</v>
      </c>
      <c r="AB57" s="3" t="s">
        <v>271</v>
      </c>
    </row>
    <row r="58" spans="1:28" ht="76" customHeight="1">
      <c r="A58" s="6" t="s">
        <v>40</v>
      </c>
      <c r="B58" s="3" t="s">
        <v>211</v>
      </c>
      <c r="C58" s="3" t="s">
        <v>272</v>
      </c>
      <c r="D58" s="16" t="s">
        <v>225</v>
      </c>
      <c r="E58" s="8">
        <v>1</v>
      </c>
      <c r="F58" s="12" t="str">
        <f t="shared" si="0"/>
        <v>180 × 180 × 30</v>
      </c>
      <c r="G58" s="3" t="s">
        <v>266</v>
      </c>
      <c r="H58" s="3" t="s">
        <v>267</v>
      </c>
      <c r="I58" s="3" t="s">
        <v>273</v>
      </c>
      <c r="J58" s="3" t="s">
        <v>269</v>
      </c>
      <c r="K58" s="3" t="s">
        <v>22</v>
      </c>
      <c r="L58" s="10">
        <v>170</v>
      </c>
      <c r="M58" s="10">
        <v>170</v>
      </c>
      <c r="N58" s="10">
        <v>20</v>
      </c>
      <c r="O58" s="11">
        <v>0</v>
      </c>
      <c r="P58" s="10">
        <v>0</v>
      </c>
      <c r="Q58" s="10">
        <v>0</v>
      </c>
      <c r="R58" s="10">
        <v>0</v>
      </c>
      <c r="S58" s="10">
        <v>3</v>
      </c>
      <c r="T58" s="10">
        <v>5</v>
      </c>
      <c r="U58" s="9">
        <f t="shared" si="1"/>
        <v>170</v>
      </c>
      <c r="V58" s="9">
        <f t="shared" si="2"/>
        <v>170</v>
      </c>
      <c r="W58" s="9">
        <f t="shared" si="3"/>
        <v>20</v>
      </c>
      <c r="X58" s="9">
        <f t="shared" si="4"/>
        <v>180</v>
      </c>
      <c r="Y58" s="9">
        <f t="shared" si="5"/>
        <v>180</v>
      </c>
      <c r="Z58" s="9">
        <f t="shared" si="6"/>
        <v>30</v>
      </c>
      <c r="AA58" s="3" t="s">
        <v>285</v>
      </c>
      <c r="AB58" s="3" t="s">
        <v>275</v>
      </c>
    </row>
    <row r="59" spans="1:28" ht="76" customHeight="1">
      <c r="A59" s="6" t="s">
        <v>46</v>
      </c>
      <c r="B59" s="3" t="s">
        <v>187</v>
      </c>
      <c r="C59" s="3" t="s">
        <v>286</v>
      </c>
      <c r="D59" s="14" t="s">
        <v>245</v>
      </c>
      <c r="E59" s="8">
        <v>2</v>
      </c>
      <c r="F59" s="12" t="str">
        <f t="shared" si="0"/>
        <v>170 × 170 × 90</v>
      </c>
      <c r="G59" s="3" t="s">
        <v>287</v>
      </c>
      <c r="H59" s="3" t="s">
        <v>288</v>
      </c>
      <c r="I59" s="3" t="s">
        <v>268</v>
      </c>
      <c r="J59" s="3" t="s">
        <v>289</v>
      </c>
      <c r="K59" s="3" t="s">
        <v>22</v>
      </c>
      <c r="L59" s="10">
        <v>100</v>
      </c>
      <c r="M59" s="10">
        <v>100</v>
      </c>
      <c r="N59" s="10">
        <v>50</v>
      </c>
      <c r="O59" s="11">
        <v>0.02</v>
      </c>
      <c r="P59" s="10">
        <v>30</v>
      </c>
      <c r="Q59" s="10">
        <v>30</v>
      </c>
      <c r="R59" s="10">
        <v>30</v>
      </c>
      <c r="S59" s="10">
        <v>3</v>
      </c>
      <c r="T59" s="10">
        <v>5</v>
      </c>
      <c r="U59" s="9">
        <f t="shared" si="1"/>
        <v>162</v>
      </c>
      <c r="V59" s="9">
        <f t="shared" si="2"/>
        <v>162</v>
      </c>
      <c r="W59" s="9">
        <f t="shared" si="3"/>
        <v>81</v>
      </c>
      <c r="X59" s="9">
        <f t="shared" si="4"/>
        <v>170</v>
      </c>
      <c r="Y59" s="9">
        <f t="shared" si="5"/>
        <v>170</v>
      </c>
      <c r="Z59" s="9">
        <f t="shared" si="6"/>
        <v>90</v>
      </c>
      <c r="AA59" s="3" t="s">
        <v>290</v>
      </c>
      <c r="AB59" s="3" t="s">
        <v>291</v>
      </c>
    </row>
    <row r="60" spans="1:28" ht="76" customHeight="1">
      <c r="A60" s="6" t="s">
        <v>46</v>
      </c>
      <c r="B60" s="3" t="s">
        <v>199</v>
      </c>
      <c r="C60" s="3" t="s">
        <v>286</v>
      </c>
      <c r="D60" s="14" t="s">
        <v>245</v>
      </c>
      <c r="E60" s="8">
        <v>2</v>
      </c>
      <c r="F60" s="12" t="str">
        <f t="shared" si="0"/>
        <v>170 × 170 × 90</v>
      </c>
      <c r="G60" s="3" t="s">
        <v>287</v>
      </c>
      <c r="H60" s="3" t="s">
        <v>288</v>
      </c>
      <c r="I60" s="3" t="s">
        <v>268</v>
      </c>
      <c r="J60" s="3" t="s">
        <v>289</v>
      </c>
      <c r="K60" s="3" t="s">
        <v>22</v>
      </c>
      <c r="L60" s="10">
        <v>100</v>
      </c>
      <c r="M60" s="10">
        <v>100</v>
      </c>
      <c r="N60" s="10">
        <v>50</v>
      </c>
      <c r="O60" s="11">
        <v>0.02</v>
      </c>
      <c r="P60" s="10">
        <v>30</v>
      </c>
      <c r="Q60" s="10">
        <v>30</v>
      </c>
      <c r="R60" s="10">
        <v>30</v>
      </c>
      <c r="S60" s="10">
        <v>3</v>
      </c>
      <c r="T60" s="10">
        <v>5</v>
      </c>
      <c r="U60" s="9">
        <f t="shared" si="1"/>
        <v>162</v>
      </c>
      <c r="V60" s="9">
        <f t="shared" si="2"/>
        <v>162</v>
      </c>
      <c r="W60" s="9">
        <f t="shared" si="3"/>
        <v>81</v>
      </c>
      <c r="X60" s="9">
        <f t="shared" si="4"/>
        <v>170</v>
      </c>
      <c r="Y60" s="9">
        <f t="shared" si="5"/>
        <v>170</v>
      </c>
      <c r="Z60" s="9">
        <f t="shared" si="6"/>
        <v>90</v>
      </c>
      <c r="AA60" s="3" t="s">
        <v>292</v>
      </c>
      <c r="AB60" s="3" t="s">
        <v>291</v>
      </c>
    </row>
    <row r="61" spans="1:28" ht="76" customHeight="1">
      <c r="A61" s="6" t="s">
        <v>46</v>
      </c>
      <c r="B61" s="3" t="s">
        <v>202</v>
      </c>
      <c r="C61" s="3" t="s">
        <v>286</v>
      </c>
      <c r="D61" s="14" t="s">
        <v>245</v>
      </c>
      <c r="E61" s="8">
        <v>2</v>
      </c>
      <c r="F61" s="12" t="str">
        <f t="shared" si="0"/>
        <v>170 × 170 × 90</v>
      </c>
      <c r="G61" s="3" t="s">
        <v>287</v>
      </c>
      <c r="H61" s="3" t="s">
        <v>288</v>
      </c>
      <c r="I61" s="3" t="s">
        <v>268</v>
      </c>
      <c r="J61" s="3" t="s">
        <v>289</v>
      </c>
      <c r="K61" s="3" t="s">
        <v>22</v>
      </c>
      <c r="L61" s="10">
        <v>100</v>
      </c>
      <c r="M61" s="10">
        <v>100</v>
      </c>
      <c r="N61" s="10">
        <v>50</v>
      </c>
      <c r="O61" s="11">
        <v>0.02</v>
      </c>
      <c r="P61" s="10">
        <v>30</v>
      </c>
      <c r="Q61" s="10">
        <v>30</v>
      </c>
      <c r="R61" s="10">
        <v>30</v>
      </c>
      <c r="S61" s="10">
        <v>3</v>
      </c>
      <c r="T61" s="10">
        <v>5</v>
      </c>
      <c r="U61" s="9">
        <f t="shared" si="1"/>
        <v>162</v>
      </c>
      <c r="V61" s="9">
        <f t="shared" si="2"/>
        <v>162</v>
      </c>
      <c r="W61" s="9">
        <f t="shared" si="3"/>
        <v>81</v>
      </c>
      <c r="X61" s="9">
        <f t="shared" si="4"/>
        <v>170</v>
      </c>
      <c r="Y61" s="9">
        <f t="shared" si="5"/>
        <v>170</v>
      </c>
      <c r="Z61" s="9">
        <f t="shared" si="6"/>
        <v>90</v>
      </c>
      <c r="AA61" s="3" t="s">
        <v>293</v>
      </c>
      <c r="AB61" s="3" t="s">
        <v>291</v>
      </c>
    </row>
    <row r="62" spans="1:28" ht="76" customHeight="1">
      <c r="A62" s="6" t="s">
        <v>46</v>
      </c>
      <c r="B62" s="3" t="s">
        <v>205</v>
      </c>
      <c r="C62" s="3" t="s">
        <v>286</v>
      </c>
      <c r="D62" s="14" t="s">
        <v>245</v>
      </c>
      <c r="E62" s="8">
        <v>2</v>
      </c>
      <c r="F62" s="12" t="str">
        <f t="shared" si="0"/>
        <v>170 × 170 × 90</v>
      </c>
      <c r="G62" s="3" t="s">
        <v>287</v>
      </c>
      <c r="H62" s="3" t="s">
        <v>288</v>
      </c>
      <c r="I62" s="3" t="s">
        <v>268</v>
      </c>
      <c r="J62" s="3" t="s">
        <v>289</v>
      </c>
      <c r="K62" s="3" t="s">
        <v>22</v>
      </c>
      <c r="L62" s="10">
        <v>100</v>
      </c>
      <c r="M62" s="10">
        <v>100</v>
      </c>
      <c r="N62" s="10">
        <v>50</v>
      </c>
      <c r="O62" s="11">
        <v>0.02</v>
      </c>
      <c r="P62" s="10">
        <v>30</v>
      </c>
      <c r="Q62" s="10">
        <v>30</v>
      </c>
      <c r="R62" s="10">
        <v>30</v>
      </c>
      <c r="S62" s="10">
        <v>3</v>
      </c>
      <c r="T62" s="10">
        <v>5</v>
      </c>
      <c r="U62" s="9">
        <f t="shared" si="1"/>
        <v>162</v>
      </c>
      <c r="V62" s="9">
        <f t="shared" si="2"/>
        <v>162</v>
      </c>
      <c r="W62" s="9">
        <f t="shared" si="3"/>
        <v>81</v>
      </c>
      <c r="X62" s="9">
        <f t="shared" si="4"/>
        <v>170</v>
      </c>
      <c r="Y62" s="9">
        <f t="shared" si="5"/>
        <v>170</v>
      </c>
      <c r="Z62" s="9">
        <f t="shared" si="6"/>
        <v>90</v>
      </c>
      <c r="AA62" s="3" t="s">
        <v>294</v>
      </c>
      <c r="AB62" s="3" t="s">
        <v>291</v>
      </c>
    </row>
    <row r="63" spans="1:28" ht="76" customHeight="1">
      <c r="A63" s="6" t="s">
        <v>46</v>
      </c>
      <c r="B63" s="3" t="s">
        <v>208</v>
      </c>
      <c r="C63" s="3" t="s">
        <v>286</v>
      </c>
      <c r="D63" s="14" t="s">
        <v>245</v>
      </c>
      <c r="E63" s="8">
        <v>2</v>
      </c>
      <c r="F63" s="12" t="str">
        <f t="shared" si="0"/>
        <v>170 × 170 × 90</v>
      </c>
      <c r="G63" s="3" t="s">
        <v>287</v>
      </c>
      <c r="H63" s="3" t="s">
        <v>288</v>
      </c>
      <c r="I63" s="3" t="s">
        <v>268</v>
      </c>
      <c r="J63" s="3" t="s">
        <v>289</v>
      </c>
      <c r="K63" s="3" t="s">
        <v>22</v>
      </c>
      <c r="L63" s="10">
        <v>100</v>
      </c>
      <c r="M63" s="10">
        <v>100</v>
      </c>
      <c r="N63" s="10">
        <v>50</v>
      </c>
      <c r="O63" s="11">
        <v>0.02</v>
      </c>
      <c r="P63" s="10">
        <v>30</v>
      </c>
      <c r="Q63" s="10">
        <v>30</v>
      </c>
      <c r="R63" s="10">
        <v>30</v>
      </c>
      <c r="S63" s="10">
        <v>3</v>
      </c>
      <c r="T63" s="10">
        <v>5</v>
      </c>
      <c r="U63" s="9">
        <f t="shared" si="1"/>
        <v>162</v>
      </c>
      <c r="V63" s="9">
        <f t="shared" si="2"/>
        <v>162</v>
      </c>
      <c r="W63" s="9">
        <f t="shared" si="3"/>
        <v>81</v>
      </c>
      <c r="X63" s="9">
        <f t="shared" si="4"/>
        <v>170</v>
      </c>
      <c r="Y63" s="9">
        <f t="shared" si="5"/>
        <v>170</v>
      </c>
      <c r="Z63" s="9">
        <f t="shared" si="6"/>
        <v>90</v>
      </c>
      <c r="AA63" s="3" t="s">
        <v>295</v>
      </c>
      <c r="AB63" s="3" t="s">
        <v>291</v>
      </c>
    </row>
    <row r="64" spans="1:28" ht="76" customHeight="1">
      <c r="A64" s="6" t="s">
        <v>46</v>
      </c>
      <c r="B64" s="3" t="s">
        <v>211</v>
      </c>
      <c r="C64" s="3" t="s">
        <v>286</v>
      </c>
      <c r="D64" s="14" t="s">
        <v>245</v>
      </c>
      <c r="E64" s="8">
        <v>2</v>
      </c>
      <c r="F64" s="12" t="str">
        <f t="shared" si="0"/>
        <v>170 × 170 × 90</v>
      </c>
      <c r="G64" s="3" t="s">
        <v>287</v>
      </c>
      <c r="H64" s="3" t="s">
        <v>288</v>
      </c>
      <c r="I64" s="3" t="s">
        <v>268</v>
      </c>
      <c r="J64" s="3" t="s">
        <v>289</v>
      </c>
      <c r="K64" s="3" t="s">
        <v>22</v>
      </c>
      <c r="L64" s="10">
        <v>100</v>
      </c>
      <c r="M64" s="10">
        <v>100</v>
      </c>
      <c r="N64" s="10">
        <v>50</v>
      </c>
      <c r="O64" s="11">
        <v>0.02</v>
      </c>
      <c r="P64" s="10">
        <v>30</v>
      </c>
      <c r="Q64" s="10">
        <v>30</v>
      </c>
      <c r="R64" s="10">
        <v>30</v>
      </c>
      <c r="S64" s="10">
        <v>3</v>
      </c>
      <c r="T64" s="10">
        <v>5</v>
      </c>
      <c r="U64" s="9">
        <f t="shared" si="1"/>
        <v>162</v>
      </c>
      <c r="V64" s="9">
        <f t="shared" si="2"/>
        <v>162</v>
      </c>
      <c r="W64" s="9">
        <f t="shared" si="3"/>
        <v>81</v>
      </c>
      <c r="X64" s="9">
        <f t="shared" si="4"/>
        <v>170</v>
      </c>
      <c r="Y64" s="9">
        <f t="shared" si="5"/>
        <v>170</v>
      </c>
      <c r="Z64" s="9">
        <f t="shared" si="6"/>
        <v>90</v>
      </c>
      <c r="AA64" s="3" t="s">
        <v>296</v>
      </c>
      <c r="AB64" s="3" t="s">
        <v>291</v>
      </c>
    </row>
    <row r="65" spans="1:28" ht="76" customHeight="1">
      <c r="A65" s="6" t="s">
        <v>51</v>
      </c>
      <c r="B65" s="3" t="s">
        <v>187</v>
      </c>
      <c r="C65" s="3" t="s">
        <v>297</v>
      </c>
      <c r="D65" s="14" t="s">
        <v>196</v>
      </c>
      <c r="E65" s="8">
        <v>2</v>
      </c>
      <c r="F65" s="12" t="str">
        <f t="shared" si="0"/>
        <v>210 × 210 × 130</v>
      </c>
      <c r="G65" s="3" t="s">
        <v>298</v>
      </c>
      <c r="H65" s="3" t="s">
        <v>299</v>
      </c>
      <c r="I65" s="3" t="str">
        <f>'Quantity grades'!G35</f>
        <v>H13 / 1.2714</v>
      </c>
      <c r="J65" s="3" t="s">
        <v>300</v>
      </c>
      <c r="K65" s="3" t="s">
        <v>22</v>
      </c>
      <c r="L65" s="10">
        <v>100</v>
      </c>
      <c r="M65" s="10">
        <v>100</v>
      </c>
      <c r="N65" s="10">
        <v>50</v>
      </c>
      <c r="O65" s="11">
        <v>0.01</v>
      </c>
      <c r="P65" s="10">
        <v>50</v>
      </c>
      <c r="Q65" s="10">
        <v>50</v>
      </c>
      <c r="R65" s="10">
        <v>70</v>
      </c>
      <c r="S65" s="10">
        <v>3</v>
      </c>
      <c r="T65" s="10">
        <v>5</v>
      </c>
      <c r="U65" s="9">
        <f t="shared" si="1"/>
        <v>201</v>
      </c>
      <c r="V65" s="9">
        <f t="shared" si="2"/>
        <v>201</v>
      </c>
      <c r="W65" s="9">
        <f t="shared" si="3"/>
        <v>120.5</v>
      </c>
      <c r="X65" s="9">
        <f t="shared" si="4"/>
        <v>210</v>
      </c>
      <c r="Y65" s="9">
        <f t="shared" si="5"/>
        <v>210</v>
      </c>
      <c r="Z65" s="9">
        <f t="shared" si="6"/>
        <v>130</v>
      </c>
      <c r="AA65" s="3" t="s">
        <v>301</v>
      </c>
      <c r="AB65" s="3" t="s">
        <v>302</v>
      </c>
    </row>
    <row r="66" spans="1:28" ht="76" customHeight="1">
      <c r="A66" s="6" t="s">
        <v>51</v>
      </c>
      <c r="B66" s="3" t="s">
        <v>187</v>
      </c>
      <c r="C66" s="3" t="s">
        <v>303</v>
      </c>
      <c r="D66" s="13" t="s">
        <v>189</v>
      </c>
      <c r="E66" s="8">
        <v>1</v>
      </c>
      <c r="F66" s="12" t="str">
        <f t="shared" si="0"/>
        <v>Ø110 × 70</v>
      </c>
      <c r="G66" s="3" t="s">
        <v>298</v>
      </c>
      <c r="H66" s="3" t="s">
        <v>299</v>
      </c>
      <c r="I66" s="3" t="s">
        <v>304</v>
      </c>
      <c r="J66" s="3" t="s">
        <v>300</v>
      </c>
      <c r="K66" s="3" t="s">
        <v>29</v>
      </c>
      <c r="L66" s="10">
        <v>101</v>
      </c>
      <c r="M66" s="15">
        <v>101</v>
      </c>
      <c r="N66" s="10">
        <v>30</v>
      </c>
      <c r="O66" s="11">
        <v>0</v>
      </c>
      <c r="P66" s="10">
        <v>0</v>
      </c>
      <c r="Q66" s="10">
        <v>0</v>
      </c>
      <c r="R66" s="10">
        <v>30</v>
      </c>
      <c r="S66" s="10">
        <v>3</v>
      </c>
      <c r="T66" s="10">
        <v>5</v>
      </c>
      <c r="U66" s="9">
        <f t="shared" si="1"/>
        <v>101</v>
      </c>
      <c r="V66" s="9" t="str">
        <f t="shared" si="2"/>
        <v/>
      </c>
      <c r="W66" s="9">
        <f t="shared" si="3"/>
        <v>60</v>
      </c>
      <c r="X66" s="9">
        <f t="shared" si="4"/>
        <v>110</v>
      </c>
      <c r="Y66" s="9" t="str">
        <f t="shared" si="5"/>
        <v/>
      </c>
      <c r="Z66" s="9">
        <f t="shared" si="6"/>
        <v>70</v>
      </c>
      <c r="AA66" s="3" t="s">
        <v>305</v>
      </c>
      <c r="AB66" s="3" t="s">
        <v>306</v>
      </c>
    </row>
    <row r="67" spans="1:28" ht="76" customHeight="1">
      <c r="A67" s="6" t="s">
        <v>51</v>
      </c>
      <c r="B67" s="3" t="s">
        <v>187</v>
      </c>
      <c r="C67" s="3" t="s">
        <v>307</v>
      </c>
      <c r="D67" s="14" t="s">
        <v>196</v>
      </c>
      <c r="E67" s="8">
        <v>1</v>
      </c>
      <c r="F67" s="12" t="str">
        <f t="shared" si="0"/>
        <v>180 × 180 × 50</v>
      </c>
      <c r="G67" s="3" t="s">
        <v>298</v>
      </c>
      <c r="H67" s="3" t="s">
        <v>299</v>
      </c>
      <c r="I67" s="3" t="s">
        <v>304</v>
      </c>
      <c r="J67" s="3" t="s">
        <v>300</v>
      </c>
      <c r="K67" s="3" t="s">
        <v>22</v>
      </c>
      <c r="L67" s="10">
        <v>101</v>
      </c>
      <c r="M67" s="10">
        <v>101</v>
      </c>
      <c r="N67" s="10">
        <v>10</v>
      </c>
      <c r="O67" s="11">
        <v>0</v>
      </c>
      <c r="P67" s="10">
        <v>35</v>
      </c>
      <c r="Q67" s="10">
        <v>35</v>
      </c>
      <c r="R67" s="10">
        <v>30</v>
      </c>
      <c r="S67" s="10">
        <v>3</v>
      </c>
      <c r="T67" s="10">
        <v>5</v>
      </c>
      <c r="U67" s="9">
        <f t="shared" si="1"/>
        <v>171</v>
      </c>
      <c r="V67" s="9">
        <f t="shared" si="2"/>
        <v>171</v>
      </c>
      <c r="W67" s="9">
        <f t="shared" si="3"/>
        <v>40</v>
      </c>
      <c r="X67" s="9">
        <f t="shared" si="4"/>
        <v>180</v>
      </c>
      <c r="Y67" s="9">
        <f t="shared" si="5"/>
        <v>180</v>
      </c>
      <c r="Z67" s="9">
        <f t="shared" si="6"/>
        <v>50</v>
      </c>
      <c r="AA67" s="3" t="s">
        <v>308</v>
      </c>
      <c r="AB67" s="3" t="s">
        <v>309</v>
      </c>
    </row>
    <row r="68" spans="1:28" ht="76" customHeight="1">
      <c r="A68" s="6" t="s">
        <v>51</v>
      </c>
      <c r="B68" s="3" t="s">
        <v>199</v>
      </c>
      <c r="C68" s="3" t="s">
        <v>297</v>
      </c>
      <c r="D68" s="14" t="s">
        <v>196</v>
      </c>
      <c r="E68" s="8">
        <v>2</v>
      </c>
      <c r="F68" s="12" t="str">
        <f t="shared" si="0"/>
        <v>210 × 210 × 130</v>
      </c>
      <c r="G68" s="3" t="s">
        <v>298</v>
      </c>
      <c r="H68" s="3" t="s">
        <v>299</v>
      </c>
      <c r="I68" s="3" t="str">
        <f>'Quantity grades'!G36</f>
        <v>H13 / 1.2714</v>
      </c>
      <c r="J68" s="3" t="s">
        <v>300</v>
      </c>
      <c r="K68" s="3" t="s">
        <v>22</v>
      </c>
      <c r="L68" s="10">
        <v>100</v>
      </c>
      <c r="M68" s="10">
        <v>100</v>
      </c>
      <c r="N68" s="10">
        <v>50</v>
      </c>
      <c r="O68" s="11">
        <v>0.01</v>
      </c>
      <c r="P68" s="10">
        <v>50</v>
      </c>
      <c r="Q68" s="10">
        <v>50</v>
      </c>
      <c r="R68" s="10">
        <v>70</v>
      </c>
      <c r="S68" s="10">
        <v>3</v>
      </c>
      <c r="T68" s="10">
        <v>5</v>
      </c>
      <c r="U68" s="9">
        <f t="shared" si="1"/>
        <v>201</v>
      </c>
      <c r="V68" s="9">
        <f t="shared" si="2"/>
        <v>201</v>
      </c>
      <c r="W68" s="9">
        <f t="shared" si="3"/>
        <v>120.5</v>
      </c>
      <c r="X68" s="9">
        <f t="shared" si="4"/>
        <v>210</v>
      </c>
      <c r="Y68" s="9">
        <f t="shared" si="5"/>
        <v>210</v>
      </c>
      <c r="Z68" s="9">
        <f t="shared" si="6"/>
        <v>130</v>
      </c>
      <c r="AA68" s="3" t="s">
        <v>310</v>
      </c>
      <c r="AB68" s="3" t="s">
        <v>302</v>
      </c>
    </row>
    <row r="69" spans="1:28" ht="76" customHeight="1">
      <c r="A69" s="6" t="s">
        <v>51</v>
      </c>
      <c r="B69" s="3" t="s">
        <v>199</v>
      </c>
      <c r="C69" s="3" t="s">
        <v>303</v>
      </c>
      <c r="D69" s="13" t="s">
        <v>189</v>
      </c>
      <c r="E69" s="8">
        <v>1</v>
      </c>
      <c r="F69" s="12" t="str">
        <f t="shared" ref="F69:F132" si="7">IF(K69="Round billet","Ø"&amp;X69&amp;" × "&amp;Z69,X69&amp;" × "&amp;Y69&amp;" × "&amp;Z69)</f>
        <v>Ø110 × 70</v>
      </c>
      <c r="G69" s="3" t="s">
        <v>298</v>
      </c>
      <c r="H69" s="3" t="s">
        <v>299</v>
      </c>
      <c r="I69" s="3" t="s">
        <v>304</v>
      </c>
      <c r="J69" s="3" t="s">
        <v>300</v>
      </c>
      <c r="K69" s="3" t="s">
        <v>29</v>
      </c>
      <c r="L69" s="10">
        <v>101</v>
      </c>
      <c r="M69" s="15">
        <v>101</v>
      </c>
      <c r="N69" s="10">
        <v>30</v>
      </c>
      <c r="O69" s="11">
        <v>0</v>
      </c>
      <c r="P69" s="10">
        <v>0</v>
      </c>
      <c r="Q69" s="10">
        <v>0</v>
      </c>
      <c r="R69" s="10">
        <v>30</v>
      </c>
      <c r="S69" s="10">
        <v>3</v>
      </c>
      <c r="T69" s="10">
        <v>5</v>
      </c>
      <c r="U69" s="9">
        <f t="shared" ref="U69:U132" si="8">L69*(1+O69)+2*P69</f>
        <v>101</v>
      </c>
      <c r="V69" s="9" t="str">
        <f t="shared" ref="V69:V132" si="9">IF(K69="Round billet","",M69*(1+O69)+2*Q69)</f>
        <v/>
      </c>
      <c r="W69" s="9">
        <f t="shared" ref="W69:W132" si="10">N69*(1+O69)+R69</f>
        <v>60</v>
      </c>
      <c r="X69" s="9">
        <f t="shared" ref="X69:X132" si="11">ROUNDUP((U69+2*S69)/T69,0)*T69</f>
        <v>110</v>
      </c>
      <c r="Y69" s="9" t="str">
        <f t="shared" ref="Y69:Y132" si="12">IF(K69="Round billet","",ROUNDUP((V69+2*S69)/T69,0)*T69)</f>
        <v/>
      </c>
      <c r="Z69" s="9">
        <f t="shared" ref="Z69:Z132" si="13">ROUNDUP((W69+2*S69)/T69,0)*T69</f>
        <v>70</v>
      </c>
      <c r="AA69" s="3" t="s">
        <v>311</v>
      </c>
      <c r="AB69" s="3" t="s">
        <v>306</v>
      </c>
    </row>
    <row r="70" spans="1:28" ht="76" customHeight="1">
      <c r="A70" s="6" t="s">
        <v>51</v>
      </c>
      <c r="B70" s="3" t="s">
        <v>199</v>
      </c>
      <c r="C70" s="3" t="s">
        <v>307</v>
      </c>
      <c r="D70" s="14" t="s">
        <v>196</v>
      </c>
      <c r="E70" s="8">
        <v>1</v>
      </c>
      <c r="F70" s="12" t="str">
        <f t="shared" si="7"/>
        <v>180 × 180 × 50</v>
      </c>
      <c r="G70" s="3" t="s">
        <v>298</v>
      </c>
      <c r="H70" s="3" t="s">
        <v>299</v>
      </c>
      <c r="I70" s="3" t="s">
        <v>304</v>
      </c>
      <c r="J70" s="3" t="s">
        <v>300</v>
      </c>
      <c r="K70" s="3" t="s">
        <v>22</v>
      </c>
      <c r="L70" s="10">
        <v>101</v>
      </c>
      <c r="M70" s="10">
        <v>101</v>
      </c>
      <c r="N70" s="10">
        <v>10</v>
      </c>
      <c r="O70" s="11">
        <v>0</v>
      </c>
      <c r="P70" s="10">
        <v>35</v>
      </c>
      <c r="Q70" s="10">
        <v>35</v>
      </c>
      <c r="R70" s="10">
        <v>30</v>
      </c>
      <c r="S70" s="10">
        <v>3</v>
      </c>
      <c r="T70" s="10">
        <v>5</v>
      </c>
      <c r="U70" s="9">
        <f t="shared" si="8"/>
        <v>171</v>
      </c>
      <c r="V70" s="9">
        <f t="shared" si="9"/>
        <v>171</v>
      </c>
      <c r="W70" s="9">
        <f t="shared" si="10"/>
        <v>40</v>
      </c>
      <c r="X70" s="9">
        <f t="shared" si="11"/>
        <v>180</v>
      </c>
      <c r="Y70" s="9">
        <f t="shared" si="12"/>
        <v>180</v>
      </c>
      <c r="Z70" s="9">
        <f t="shared" si="13"/>
        <v>50</v>
      </c>
      <c r="AA70" s="3" t="s">
        <v>312</v>
      </c>
      <c r="AB70" s="3" t="s">
        <v>309</v>
      </c>
    </row>
    <row r="71" spans="1:28" ht="76" customHeight="1">
      <c r="A71" s="6" t="s">
        <v>51</v>
      </c>
      <c r="B71" s="3" t="s">
        <v>202</v>
      </c>
      <c r="C71" s="3" t="s">
        <v>297</v>
      </c>
      <c r="D71" s="14" t="s">
        <v>196</v>
      </c>
      <c r="E71" s="8">
        <v>2</v>
      </c>
      <c r="F71" s="12" t="str">
        <f t="shared" si="7"/>
        <v>210 × 210 × 130</v>
      </c>
      <c r="G71" s="3" t="s">
        <v>298</v>
      </c>
      <c r="H71" s="3" t="s">
        <v>299</v>
      </c>
      <c r="I71" s="3" t="str">
        <f>'Quantity grades'!G37</f>
        <v>H13 / H11 / 1.2714</v>
      </c>
      <c r="J71" s="3" t="s">
        <v>300</v>
      </c>
      <c r="K71" s="3" t="s">
        <v>22</v>
      </c>
      <c r="L71" s="10">
        <v>100</v>
      </c>
      <c r="M71" s="10">
        <v>100</v>
      </c>
      <c r="N71" s="10">
        <v>50</v>
      </c>
      <c r="O71" s="11">
        <v>0.01</v>
      </c>
      <c r="P71" s="10">
        <v>50</v>
      </c>
      <c r="Q71" s="10">
        <v>50</v>
      </c>
      <c r="R71" s="10">
        <v>70</v>
      </c>
      <c r="S71" s="10">
        <v>3</v>
      </c>
      <c r="T71" s="10">
        <v>5</v>
      </c>
      <c r="U71" s="9">
        <f t="shared" si="8"/>
        <v>201</v>
      </c>
      <c r="V71" s="9">
        <f t="shared" si="9"/>
        <v>201</v>
      </c>
      <c r="W71" s="9">
        <f t="shared" si="10"/>
        <v>120.5</v>
      </c>
      <c r="X71" s="9">
        <f t="shared" si="11"/>
        <v>210</v>
      </c>
      <c r="Y71" s="9">
        <f t="shared" si="12"/>
        <v>210</v>
      </c>
      <c r="Z71" s="9">
        <f t="shared" si="13"/>
        <v>130</v>
      </c>
      <c r="AA71" s="3" t="s">
        <v>313</v>
      </c>
      <c r="AB71" s="3" t="s">
        <v>302</v>
      </c>
    </row>
    <row r="72" spans="1:28" ht="76" customHeight="1">
      <c r="A72" s="6" t="s">
        <v>51</v>
      </c>
      <c r="B72" s="3" t="s">
        <v>202</v>
      </c>
      <c r="C72" s="3" t="s">
        <v>303</v>
      </c>
      <c r="D72" s="13" t="s">
        <v>189</v>
      </c>
      <c r="E72" s="8">
        <v>1</v>
      </c>
      <c r="F72" s="12" t="str">
        <f t="shared" si="7"/>
        <v>Ø110 × 70</v>
      </c>
      <c r="G72" s="3" t="s">
        <v>298</v>
      </c>
      <c r="H72" s="3" t="s">
        <v>299</v>
      </c>
      <c r="I72" s="3" t="s">
        <v>304</v>
      </c>
      <c r="J72" s="3" t="s">
        <v>300</v>
      </c>
      <c r="K72" s="3" t="s">
        <v>29</v>
      </c>
      <c r="L72" s="10">
        <v>101</v>
      </c>
      <c r="M72" s="15">
        <v>101</v>
      </c>
      <c r="N72" s="10">
        <v>30</v>
      </c>
      <c r="O72" s="11">
        <v>0</v>
      </c>
      <c r="P72" s="10">
        <v>0</v>
      </c>
      <c r="Q72" s="10">
        <v>0</v>
      </c>
      <c r="R72" s="10">
        <v>30</v>
      </c>
      <c r="S72" s="10">
        <v>3</v>
      </c>
      <c r="T72" s="10">
        <v>5</v>
      </c>
      <c r="U72" s="9">
        <f t="shared" si="8"/>
        <v>101</v>
      </c>
      <c r="V72" s="9" t="str">
        <f t="shared" si="9"/>
        <v/>
      </c>
      <c r="W72" s="9">
        <f t="shared" si="10"/>
        <v>60</v>
      </c>
      <c r="X72" s="9">
        <f t="shared" si="11"/>
        <v>110</v>
      </c>
      <c r="Y72" s="9" t="str">
        <f t="shared" si="12"/>
        <v/>
      </c>
      <c r="Z72" s="9">
        <f t="shared" si="13"/>
        <v>70</v>
      </c>
      <c r="AA72" s="3" t="s">
        <v>314</v>
      </c>
      <c r="AB72" s="3" t="s">
        <v>306</v>
      </c>
    </row>
    <row r="73" spans="1:28" ht="76" customHeight="1">
      <c r="A73" s="6" t="s">
        <v>51</v>
      </c>
      <c r="B73" s="3" t="s">
        <v>202</v>
      </c>
      <c r="C73" s="3" t="s">
        <v>307</v>
      </c>
      <c r="D73" s="14" t="s">
        <v>196</v>
      </c>
      <c r="E73" s="8">
        <v>1</v>
      </c>
      <c r="F73" s="12" t="str">
        <f t="shared" si="7"/>
        <v>180 × 180 × 50</v>
      </c>
      <c r="G73" s="3" t="s">
        <v>298</v>
      </c>
      <c r="H73" s="3" t="s">
        <v>299</v>
      </c>
      <c r="I73" s="3" t="s">
        <v>304</v>
      </c>
      <c r="J73" s="3" t="s">
        <v>300</v>
      </c>
      <c r="K73" s="3" t="s">
        <v>22</v>
      </c>
      <c r="L73" s="10">
        <v>101</v>
      </c>
      <c r="M73" s="10">
        <v>101</v>
      </c>
      <c r="N73" s="10">
        <v>10</v>
      </c>
      <c r="O73" s="11">
        <v>0</v>
      </c>
      <c r="P73" s="10">
        <v>35</v>
      </c>
      <c r="Q73" s="10">
        <v>35</v>
      </c>
      <c r="R73" s="10">
        <v>30</v>
      </c>
      <c r="S73" s="10">
        <v>3</v>
      </c>
      <c r="T73" s="10">
        <v>5</v>
      </c>
      <c r="U73" s="9">
        <f t="shared" si="8"/>
        <v>171</v>
      </c>
      <c r="V73" s="9">
        <f t="shared" si="9"/>
        <v>171</v>
      </c>
      <c r="W73" s="9">
        <f t="shared" si="10"/>
        <v>40</v>
      </c>
      <c r="X73" s="9">
        <f t="shared" si="11"/>
        <v>180</v>
      </c>
      <c r="Y73" s="9">
        <f t="shared" si="12"/>
        <v>180</v>
      </c>
      <c r="Z73" s="9">
        <f t="shared" si="13"/>
        <v>50</v>
      </c>
      <c r="AA73" s="3" t="s">
        <v>315</v>
      </c>
      <c r="AB73" s="3" t="s">
        <v>309</v>
      </c>
    </row>
    <row r="74" spans="1:28" ht="76" customHeight="1">
      <c r="A74" s="6" t="s">
        <v>51</v>
      </c>
      <c r="B74" s="3" t="s">
        <v>205</v>
      </c>
      <c r="C74" s="3" t="s">
        <v>297</v>
      </c>
      <c r="D74" s="14" t="s">
        <v>196</v>
      </c>
      <c r="E74" s="8">
        <v>2</v>
      </c>
      <c r="F74" s="12" t="str">
        <f t="shared" si="7"/>
        <v>210 × 210 × 130</v>
      </c>
      <c r="G74" s="3" t="s">
        <v>298</v>
      </c>
      <c r="H74" s="3" t="s">
        <v>299</v>
      </c>
      <c r="I74" s="3" t="str">
        <f>'Quantity grades'!G38</f>
        <v>H13 / H11 / 1.2714</v>
      </c>
      <c r="J74" s="3" t="s">
        <v>300</v>
      </c>
      <c r="K74" s="3" t="s">
        <v>22</v>
      </c>
      <c r="L74" s="10">
        <v>100</v>
      </c>
      <c r="M74" s="10">
        <v>100</v>
      </c>
      <c r="N74" s="10">
        <v>50</v>
      </c>
      <c r="O74" s="11">
        <v>0.01</v>
      </c>
      <c r="P74" s="10">
        <v>50</v>
      </c>
      <c r="Q74" s="10">
        <v>50</v>
      </c>
      <c r="R74" s="10">
        <v>70</v>
      </c>
      <c r="S74" s="10">
        <v>3</v>
      </c>
      <c r="T74" s="10">
        <v>5</v>
      </c>
      <c r="U74" s="9">
        <f t="shared" si="8"/>
        <v>201</v>
      </c>
      <c r="V74" s="9">
        <f t="shared" si="9"/>
        <v>201</v>
      </c>
      <c r="W74" s="9">
        <f t="shared" si="10"/>
        <v>120.5</v>
      </c>
      <c r="X74" s="9">
        <f t="shared" si="11"/>
        <v>210</v>
      </c>
      <c r="Y74" s="9">
        <f t="shared" si="12"/>
        <v>210</v>
      </c>
      <c r="Z74" s="9">
        <f t="shared" si="13"/>
        <v>130</v>
      </c>
      <c r="AA74" s="3" t="s">
        <v>316</v>
      </c>
      <c r="AB74" s="3" t="s">
        <v>302</v>
      </c>
    </row>
    <row r="75" spans="1:28" ht="76" customHeight="1">
      <c r="A75" s="6" t="s">
        <v>51</v>
      </c>
      <c r="B75" s="3" t="s">
        <v>205</v>
      </c>
      <c r="C75" s="3" t="s">
        <v>303</v>
      </c>
      <c r="D75" s="13" t="s">
        <v>189</v>
      </c>
      <c r="E75" s="8">
        <v>1</v>
      </c>
      <c r="F75" s="12" t="str">
        <f t="shared" si="7"/>
        <v>Ø110 × 70</v>
      </c>
      <c r="G75" s="3" t="s">
        <v>298</v>
      </c>
      <c r="H75" s="3" t="s">
        <v>299</v>
      </c>
      <c r="I75" s="3" t="s">
        <v>304</v>
      </c>
      <c r="J75" s="3" t="s">
        <v>300</v>
      </c>
      <c r="K75" s="3" t="s">
        <v>29</v>
      </c>
      <c r="L75" s="10">
        <v>101</v>
      </c>
      <c r="M75" s="15">
        <v>101</v>
      </c>
      <c r="N75" s="10">
        <v>30</v>
      </c>
      <c r="O75" s="11">
        <v>0</v>
      </c>
      <c r="P75" s="10">
        <v>0</v>
      </c>
      <c r="Q75" s="10">
        <v>0</v>
      </c>
      <c r="R75" s="10">
        <v>30</v>
      </c>
      <c r="S75" s="10">
        <v>3</v>
      </c>
      <c r="T75" s="10">
        <v>5</v>
      </c>
      <c r="U75" s="9">
        <f t="shared" si="8"/>
        <v>101</v>
      </c>
      <c r="V75" s="9" t="str">
        <f t="shared" si="9"/>
        <v/>
      </c>
      <c r="W75" s="9">
        <f t="shared" si="10"/>
        <v>60</v>
      </c>
      <c r="X75" s="9">
        <f t="shared" si="11"/>
        <v>110</v>
      </c>
      <c r="Y75" s="9" t="str">
        <f t="shared" si="12"/>
        <v/>
      </c>
      <c r="Z75" s="9">
        <f t="shared" si="13"/>
        <v>70</v>
      </c>
      <c r="AA75" s="3" t="s">
        <v>317</v>
      </c>
      <c r="AB75" s="3" t="s">
        <v>306</v>
      </c>
    </row>
    <row r="76" spans="1:28" ht="76" customHeight="1">
      <c r="A76" s="6" t="s">
        <v>51</v>
      </c>
      <c r="B76" s="3" t="s">
        <v>205</v>
      </c>
      <c r="C76" s="3" t="s">
        <v>307</v>
      </c>
      <c r="D76" s="14" t="s">
        <v>196</v>
      </c>
      <c r="E76" s="8">
        <v>1</v>
      </c>
      <c r="F76" s="12" t="str">
        <f t="shared" si="7"/>
        <v>180 × 180 × 50</v>
      </c>
      <c r="G76" s="3" t="s">
        <v>298</v>
      </c>
      <c r="H76" s="3" t="s">
        <v>299</v>
      </c>
      <c r="I76" s="3" t="s">
        <v>304</v>
      </c>
      <c r="J76" s="3" t="s">
        <v>300</v>
      </c>
      <c r="K76" s="3" t="s">
        <v>22</v>
      </c>
      <c r="L76" s="10">
        <v>101</v>
      </c>
      <c r="M76" s="10">
        <v>101</v>
      </c>
      <c r="N76" s="10">
        <v>10</v>
      </c>
      <c r="O76" s="11">
        <v>0</v>
      </c>
      <c r="P76" s="10">
        <v>35</v>
      </c>
      <c r="Q76" s="10">
        <v>35</v>
      </c>
      <c r="R76" s="10">
        <v>30</v>
      </c>
      <c r="S76" s="10">
        <v>3</v>
      </c>
      <c r="T76" s="10">
        <v>5</v>
      </c>
      <c r="U76" s="9">
        <f t="shared" si="8"/>
        <v>171</v>
      </c>
      <c r="V76" s="9">
        <f t="shared" si="9"/>
        <v>171</v>
      </c>
      <c r="W76" s="9">
        <f t="shared" si="10"/>
        <v>40</v>
      </c>
      <c r="X76" s="9">
        <f t="shared" si="11"/>
        <v>180</v>
      </c>
      <c r="Y76" s="9">
        <f t="shared" si="12"/>
        <v>180</v>
      </c>
      <c r="Z76" s="9">
        <f t="shared" si="13"/>
        <v>50</v>
      </c>
      <c r="AA76" s="3" t="s">
        <v>318</v>
      </c>
      <c r="AB76" s="3" t="s">
        <v>309</v>
      </c>
    </row>
    <row r="77" spans="1:28" ht="76" customHeight="1">
      <c r="A77" s="6" t="s">
        <v>51</v>
      </c>
      <c r="B77" s="3" t="s">
        <v>208</v>
      </c>
      <c r="C77" s="3" t="s">
        <v>297</v>
      </c>
      <c r="D77" s="14" t="s">
        <v>196</v>
      </c>
      <c r="E77" s="8">
        <v>2</v>
      </c>
      <c r="F77" s="12" t="str">
        <f t="shared" si="7"/>
        <v>210 × 210 × 130</v>
      </c>
      <c r="G77" s="3" t="s">
        <v>298</v>
      </c>
      <c r="H77" s="3" t="s">
        <v>299</v>
      </c>
      <c r="I77" s="3" t="str">
        <f>'Quantity grades'!G39</f>
        <v>H13; premium quality if justified</v>
      </c>
      <c r="J77" s="3" t="s">
        <v>300</v>
      </c>
      <c r="K77" s="3" t="s">
        <v>22</v>
      </c>
      <c r="L77" s="10">
        <v>100</v>
      </c>
      <c r="M77" s="10">
        <v>100</v>
      </c>
      <c r="N77" s="10">
        <v>50</v>
      </c>
      <c r="O77" s="11">
        <v>0.01</v>
      </c>
      <c r="P77" s="10">
        <v>50</v>
      </c>
      <c r="Q77" s="10">
        <v>50</v>
      </c>
      <c r="R77" s="10">
        <v>70</v>
      </c>
      <c r="S77" s="10">
        <v>3</v>
      </c>
      <c r="T77" s="10">
        <v>5</v>
      </c>
      <c r="U77" s="9">
        <f t="shared" si="8"/>
        <v>201</v>
      </c>
      <c r="V77" s="9">
        <f t="shared" si="9"/>
        <v>201</v>
      </c>
      <c r="W77" s="9">
        <f t="shared" si="10"/>
        <v>120.5</v>
      </c>
      <c r="X77" s="9">
        <f t="shared" si="11"/>
        <v>210</v>
      </c>
      <c r="Y77" s="9">
        <f t="shared" si="12"/>
        <v>210</v>
      </c>
      <c r="Z77" s="9">
        <f t="shared" si="13"/>
        <v>130</v>
      </c>
      <c r="AA77" s="3" t="s">
        <v>319</v>
      </c>
      <c r="AB77" s="3" t="s">
        <v>302</v>
      </c>
    </row>
    <row r="78" spans="1:28" ht="76" customHeight="1">
      <c r="A78" s="6" t="s">
        <v>51</v>
      </c>
      <c r="B78" s="3" t="s">
        <v>208</v>
      </c>
      <c r="C78" s="3" t="s">
        <v>303</v>
      </c>
      <c r="D78" s="13" t="s">
        <v>189</v>
      </c>
      <c r="E78" s="8">
        <v>1</v>
      </c>
      <c r="F78" s="12" t="str">
        <f t="shared" si="7"/>
        <v>Ø110 × 70</v>
      </c>
      <c r="G78" s="3" t="s">
        <v>298</v>
      </c>
      <c r="H78" s="3" t="s">
        <v>299</v>
      </c>
      <c r="I78" s="3" t="s">
        <v>304</v>
      </c>
      <c r="J78" s="3" t="s">
        <v>300</v>
      </c>
      <c r="K78" s="3" t="s">
        <v>29</v>
      </c>
      <c r="L78" s="10">
        <v>101</v>
      </c>
      <c r="M78" s="15">
        <v>101</v>
      </c>
      <c r="N78" s="10">
        <v>30</v>
      </c>
      <c r="O78" s="11">
        <v>0</v>
      </c>
      <c r="P78" s="10">
        <v>0</v>
      </c>
      <c r="Q78" s="10">
        <v>0</v>
      </c>
      <c r="R78" s="10">
        <v>30</v>
      </c>
      <c r="S78" s="10">
        <v>3</v>
      </c>
      <c r="T78" s="10">
        <v>5</v>
      </c>
      <c r="U78" s="9">
        <f t="shared" si="8"/>
        <v>101</v>
      </c>
      <c r="V78" s="9" t="str">
        <f t="shared" si="9"/>
        <v/>
      </c>
      <c r="W78" s="9">
        <f t="shared" si="10"/>
        <v>60</v>
      </c>
      <c r="X78" s="9">
        <f t="shared" si="11"/>
        <v>110</v>
      </c>
      <c r="Y78" s="9" t="str">
        <f t="shared" si="12"/>
        <v/>
      </c>
      <c r="Z78" s="9">
        <f t="shared" si="13"/>
        <v>70</v>
      </c>
      <c r="AA78" s="3" t="s">
        <v>320</v>
      </c>
      <c r="AB78" s="3" t="s">
        <v>306</v>
      </c>
    </row>
    <row r="79" spans="1:28" ht="76" customHeight="1">
      <c r="A79" s="6" t="s">
        <v>51</v>
      </c>
      <c r="B79" s="3" t="s">
        <v>208</v>
      </c>
      <c r="C79" s="3" t="s">
        <v>307</v>
      </c>
      <c r="D79" s="14" t="s">
        <v>196</v>
      </c>
      <c r="E79" s="8">
        <v>1</v>
      </c>
      <c r="F79" s="12" t="str">
        <f t="shared" si="7"/>
        <v>180 × 180 × 50</v>
      </c>
      <c r="G79" s="3" t="s">
        <v>298</v>
      </c>
      <c r="H79" s="3" t="s">
        <v>299</v>
      </c>
      <c r="I79" s="3" t="s">
        <v>304</v>
      </c>
      <c r="J79" s="3" t="s">
        <v>300</v>
      </c>
      <c r="K79" s="3" t="s">
        <v>22</v>
      </c>
      <c r="L79" s="10">
        <v>101</v>
      </c>
      <c r="M79" s="10">
        <v>101</v>
      </c>
      <c r="N79" s="10">
        <v>10</v>
      </c>
      <c r="O79" s="11">
        <v>0</v>
      </c>
      <c r="P79" s="10">
        <v>35</v>
      </c>
      <c r="Q79" s="10">
        <v>35</v>
      </c>
      <c r="R79" s="10">
        <v>30</v>
      </c>
      <c r="S79" s="10">
        <v>3</v>
      </c>
      <c r="T79" s="10">
        <v>5</v>
      </c>
      <c r="U79" s="9">
        <f t="shared" si="8"/>
        <v>171</v>
      </c>
      <c r="V79" s="9">
        <f t="shared" si="9"/>
        <v>171</v>
      </c>
      <c r="W79" s="9">
        <f t="shared" si="10"/>
        <v>40</v>
      </c>
      <c r="X79" s="9">
        <f t="shared" si="11"/>
        <v>180</v>
      </c>
      <c r="Y79" s="9">
        <f t="shared" si="12"/>
        <v>180</v>
      </c>
      <c r="Z79" s="9">
        <f t="shared" si="13"/>
        <v>50</v>
      </c>
      <c r="AA79" s="3" t="s">
        <v>321</v>
      </c>
      <c r="AB79" s="3" t="s">
        <v>309</v>
      </c>
    </row>
    <row r="80" spans="1:28" ht="76" customHeight="1">
      <c r="A80" s="6" t="s">
        <v>51</v>
      </c>
      <c r="B80" s="3" t="s">
        <v>211</v>
      </c>
      <c r="C80" s="3" t="s">
        <v>297</v>
      </c>
      <c r="D80" s="14" t="s">
        <v>196</v>
      </c>
      <c r="E80" s="8">
        <v>2</v>
      </c>
      <c r="F80" s="12" t="str">
        <f t="shared" si="7"/>
        <v>210 × 210 × 130</v>
      </c>
      <c r="G80" s="3" t="s">
        <v>298</v>
      </c>
      <c r="H80" s="3" t="s">
        <v>299</v>
      </c>
      <c r="I80" s="3" t="str">
        <f>'Quantity grades'!G40</f>
        <v>H13 ESR / Dievar / Formvar</v>
      </c>
      <c r="J80" s="3" t="s">
        <v>300</v>
      </c>
      <c r="K80" s="3" t="s">
        <v>22</v>
      </c>
      <c r="L80" s="10">
        <v>100</v>
      </c>
      <c r="M80" s="10">
        <v>100</v>
      </c>
      <c r="N80" s="10">
        <v>50</v>
      </c>
      <c r="O80" s="11">
        <v>0.01</v>
      </c>
      <c r="P80" s="10">
        <v>50</v>
      </c>
      <c r="Q80" s="10">
        <v>50</v>
      </c>
      <c r="R80" s="10">
        <v>70</v>
      </c>
      <c r="S80" s="10">
        <v>3</v>
      </c>
      <c r="T80" s="10">
        <v>5</v>
      </c>
      <c r="U80" s="9">
        <f t="shared" si="8"/>
        <v>201</v>
      </c>
      <c r="V80" s="9">
        <f t="shared" si="9"/>
        <v>201</v>
      </c>
      <c r="W80" s="9">
        <f t="shared" si="10"/>
        <v>120.5</v>
      </c>
      <c r="X80" s="9">
        <f t="shared" si="11"/>
        <v>210</v>
      </c>
      <c r="Y80" s="9">
        <f t="shared" si="12"/>
        <v>210</v>
      </c>
      <c r="Z80" s="9">
        <f t="shared" si="13"/>
        <v>130</v>
      </c>
      <c r="AA80" s="3" t="s">
        <v>322</v>
      </c>
      <c r="AB80" s="3" t="s">
        <v>302</v>
      </c>
    </row>
    <row r="81" spans="1:28" ht="76" customHeight="1">
      <c r="A81" s="6" t="s">
        <v>51</v>
      </c>
      <c r="B81" s="3" t="s">
        <v>211</v>
      </c>
      <c r="C81" s="3" t="s">
        <v>303</v>
      </c>
      <c r="D81" s="13" t="s">
        <v>189</v>
      </c>
      <c r="E81" s="8">
        <v>1</v>
      </c>
      <c r="F81" s="12" t="str">
        <f t="shared" si="7"/>
        <v>Ø110 × 70</v>
      </c>
      <c r="G81" s="3" t="s">
        <v>298</v>
      </c>
      <c r="H81" s="3" t="s">
        <v>299</v>
      </c>
      <c r="I81" s="3" t="s">
        <v>304</v>
      </c>
      <c r="J81" s="3" t="s">
        <v>300</v>
      </c>
      <c r="K81" s="3" t="s">
        <v>29</v>
      </c>
      <c r="L81" s="10">
        <v>101</v>
      </c>
      <c r="M81" s="15">
        <v>101</v>
      </c>
      <c r="N81" s="10">
        <v>30</v>
      </c>
      <c r="O81" s="11">
        <v>0</v>
      </c>
      <c r="P81" s="10">
        <v>0</v>
      </c>
      <c r="Q81" s="10">
        <v>0</v>
      </c>
      <c r="R81" s="10">
        <v>30</v>
      </c>
      <c r="S81" s="10">
        <v>3</v>
      </c>
      <c r="T81" s="10">
        <v>5</v>
      </c>
      <c r="U81" s="9">
        <f t="shared" si="8"/>
        <v>101</v>
      </c>
      <c r="V81" s="9" t="str">
        <f t="shared" si="9"/>
        <v/>
      </c>
      <c r="W81" s="9">
        <f t="shared" si="10"/>
        <v>60</v>
      </c>
      <c r="X81" s="9">
        <f t="shared" si="11"/>
        <v>110</v>
      </c>
      <c r="Y81" s="9" t="str">
        <f t="shared" si="12"/>
        <v/>
      </c>
      <c r="Z81" s="9">
        <f t="shared" si="13"/>
        <v>70</v>
      </c>
      <c r="AA81" s="3" t="s">
        <v>323</v>
      </c>
      <c r="AB81" s="3" t="s">
        <v>306</v>
      </c>
    </row>
    <row r="82" spans="1:28" ht="76" customHeight="1">
      <c r="A82" s="6" t="s">
        <v>51</v>
      </c>
      <c r="B82" s="3" t="s">
        <v>211</v>
      </c>
      <c r="C82" s="3" t="s">
        <v>307</v>
      </c>
      <c r="D82" s="14" t="s">
        <v>196</v>
      </c>
      <c r="E82" s="8">
        <v>1</v>
      </c>
      <c r="F82" s="12" t="str">
        <f t="shared" si="7"/>
        <v>180 × 180 × 50</v>
      </c>
      <c r="G82" s="3" t="s">
        <v>298</v>
      </c>
      <c r="H82" s="3" t="s">
        <v>299</v>
      </c>
      <c r="I82" s="3" t="s">
        <v>304</v>
      </c>
      <c r="J82" s="3" t="s">
        <v>300</v>
      </c>
      <c r="K82" s="3" t="s">
        <v>22</v>
      </c>
      <c r="L82" s="10">
        <v>101</v>
      </c>
      <c r="M82" s="10">
        <v>101</v>
      </c>
      <c r="N82" s="10">
        <v>10</v>
      </c>
      <c r="O82" s="11">
        <v>0</v>
      </c>
      <c r="P82" s="10">
        <v>35</v>
      </c>
      <c r="Q82" s="10">
        <v>35</v>
      </c>
      <c r="R82" s="10">
        <v>30</v>
      </c>
      <c r="S82" s="10">
        <v>3</v>
      </c>
      <c r="T82" s="10">
        <v>5</v>
      </c>
      <c r="U82" s="9">
        <f t="shared" si="8"/>
        <v>171</v>
      </c>
      <c r="V82" s="9">
        <f t="shared" si="9"/>
        <v>171</v>
      </c>
      <c r="W82" s="9">
        <f t="shared" si="10"/>
        <v>40</v>
      </c>
      <c r="X82" s="9">
        <f t="shared" si="11"/>
        <v>180</v>
      </c>
      <c r="Y82" s="9">
        <f t="shared" si="12"/>
        <v>180</v>
      </c>
      <c r="Z82" s="9">
        <f t="shared" si="13"/>
        <v>50</v>
      </c>
      <c r="AA82" s="3" t="s">
        <v>324</v>
      </c>
      <c r="AB82" s="3" t="s">
        <v>309</v>
      </c>
    </row>
    <row r="83" spans="1:28" ht="76" customHeight="1">
      <c r="A83" s="6" t="s">
        <v>58</v>
      </c>
      <c r="B83" s="3" t="s">
        <v>187</v>
      </c>
      <c r="C83" s="3" t="s">
        <v>325</v>
      </c>
      <c r="D83" s="14" t="s">
        <v>196</v>
      </c>
      <c r="E83" s="8">
        <v>1</v>
      </c>
      <c r="F83" s="12" t="str">
        <f t="shared" si="7"/>
        <v>130 × 115 × 60</v>
      </c>
      <c r="G83" s="3" t="s">
        <v>326</v>
      </c>
      <c r="H83" s="3" t="s">
        <v>327</v>
      </c>
      <c r="I83" s="3" t="s">
        <v>328</v>
      </c>
      <c r="J83" s="3" t="s">
        <v>329</v>
      </c>
      <c r="K83" s="3" t="s">
        <v>22</v>
      </c>
      <c r="L83" s="10">
        <v>40</v>
      </c>
      <c r="M83" s="10">
        <v>25</v>
      </c>
      <c r="N83" s="10">
        <v>20</v>
      </c>
      <c r="O83" s="11">
        <v>0</v>
      </c>
      <c r="P83" s="10">
        <v>40</v>
      </c>
      <c r="Q83" s="10">
        <v>40</v>
      </c>
      <c r="R83" s="10">
        <v>30</v>
      </c>
      <c r="S83" s="10">
        <v>3</v>
      </c>
      <c r="T83" s="10">
        <v>5</v>
      </c>
      <c r="U83" s="9">
        <f t="shared" si="8"/>
        <v>120</v>
      </c>
      <c r="V83" s="9">
        <f t="shared" si="9"/>
        <v>105</v>
      </c>
      <c r="W83" s="9">
        <f t="shared" si="10"/>
        <v>50</v>
      </c>
      <c r="X83" s="9">
        <f t="shared" si="11"/>
        <v>130</v>
      </c>
      <c r="Y83" s="9">
        <f t="shared" si="12"/>
        <v>115</v>
      </c>
      <c r="Z83" s="9">
        <f t="shared" si="13"/>
        <v>60</v>
      </c>
      <c r="AA83" s="3" t="s">
        <v>330</v>
      </c>
      <c r="AB83" s="3" t="s">
        <v>331</v>
      </c>
    </row>
    <row r="84" spans="1:28" ht="76" customHeight="1">
      <c r="A84" s="6" t="s">
        <v>58</v>
      </c>
      <c r="B84" s="3" t="s">
        <v>187</v>
      </c>
      <c r="C84" s="3" t="s">
        <v>332</v>
      </c>
      <c r="D84" s="13" t="s">
        <v>189</v>
      </c>
      <c r="E84" s="8">
        <v>1</v>
      </c>
      <c r="F84" s="12" t="str">
        <f t="shared" si="7"/>
        <v>45 × 30 × 110</v>
      </c>
      <c r="G84" s="3" t="s">
        <v>326</v>
      </c>
      <c r="H84" s="3" t="s">
        <v>327</v>
      </c>
      <c r="I84" s="3" t="s">
        <v>333</v>
      </c>
      <c r="J84" s="3" t="s">
        <v>329</v>
      </c>
      <c r="K84" s="3" t="s">
        <v>22</v>
      </c>
      <c r="L84" s="10">
        <v>36</v>
      </c>
      <c r="M84" s="10">
        <v>21</v>
      </c>
      <c r="N84" s="10">
        <v>70</v>
      </c>
      <c r="O84" s="11">
        <v>0</v>
      </c>
      <c r="P84" s="10">
        <v>0</v>
      </c>
      <c r="Q84" s="10">
        <v>0</v>
      </c>
      <c r="R84" s="10">
        <v>30</v>
      </c>
      <c r="S84" s="10">
        <v>3</v>
      </c>
      <c r="T84" s="10">
        <v>5</v>
      </c>
      <c r="U84" s="9">
        <f t="shared" si="8"/>
        <v>36</v>
      </c>
      <c r="V84" s="9">
        <f t="shared" si="9"/>
        <v>21</v>
      </c>
      <c r="W84" s="9">
        <f t="shared" si="10"/>
        <v>100</v>
      </c>
      <c r="X84" s="9">
        <f t="shared" si="11"/>
        <v>45</v>
      </c>
      <c r="Y84" s="9">
        <f t="shared" si="12"/>
        <v>30</v>
      </c>
      <c r="Z84" s="9">
        <f t="shared" si="13"/>
        <v>110</v>
      </c>
      <c r="AA84" s="3" t="s">
        <v>334</v>
      </c>
      <c r="AB84" s="3" t="s">
        <v>335</v>
      </c>
    </row>
    <row r="85" spans="1:28" ht="76" customHeight="1">
      <c r="A85" s="6" t="s">
        <v>58</v>
      </c>
      <c r="B85" s="3" t="s">
        <v>187</v>
      </c>
      <c r="C85" s="3" t="s">
        <v>336</v>
      </c>
      <c r="D85" s="14" t="s">
        <v>337</v>
      </c>
      <c r="E85" s="8">
        <v>1</v>
      </c>
      <c r="F85" s="12" t="str">
        <f t="shared" si="7"/>
        <v>110 × 95 × 210</v>
      </c>
      <c r="G85" s="3" t="s">
        <v>326</v>
      </c>
      <c r="H85" s="3" t="s">
        <v>327</v>
      </c>
      <c r="I85" s="3" t="s">
        <v>338</v>
      </c>
      <c r="J85" s="3" t="s">
        <v>329</v>
      </c>
      <c r="K85" s="3" t="s">
        <v>22</v>
      </c>
      <c r="L85" s="10">
        <v>40</v>
      </c>
      <c r="M85" s="10">
        <v>25</v>
      </c>
      <c r="N85" s="10">
        <v>200</v>
      </c>
      <c r="O85" s="11">
        <v>0</v>
      </c>
      <c r="P85" s="10">
        <v>30</v>
      </c>
      <c r="Q85" s="10">
        <v>30</v>
      </c>
      <c r="R85" s="10">
        <v>0</v>
      </c>
      <c r="S85" s="10">
        <v>3</v>
      </c>
      <c r="T85" s="10">
        <v>5</v>
      </c>
      <c r="U85" s="9">
        <f t="shared" si="8"/>
        <v>100</v>
      </c>
      <c r="V85" s="9">
        <f t="shared" si="9"/>
        <v>85</v>
      </c>
      <c r="W85" s="9">
        <f t="shared" si="10"/>
        <v>200</v>
      </c>
      <c r="X85" s="9">
        <f t="shared" si="11"/>
        <v>110</v>
      </c>
      <c r="Y85" s="9">
        <f t="shared" si="12"/>
        <v>95</v>
      </c>
      <c r="Z85" s="9">
        <f t="shared" si="13"/>
        <v>210</v>
      </c>
      <c r="AA85" s="3" t="s">
        <v>339</v>
      </c>
      <c r="AB85" s="3" t="s">
        <v>340</v>
      </c>
    </row>
    <row r="86" spans="1:28" ht="76" customHeight="1">
      <c r="A86" s="6" t="s">
        <v>58</v>
      </c>
      <c r="B86" s="3" t="s">
        <v>199</v>
      </c>
      <c r="C86" s="3" t="s">
        <v>325</v>
      </c>
      <c r="D86" s="14" t="s">
        <v>196</v>
      </c>
      <c r="E86" s="8">
        <v>1</v>
      </c>
      <c r="F86" s="12" t="str">
        <f t="shared" si="7"/>
        <v>130 × 115 × 60</v>
      </c>
      <c r="G86" s="3" t="s">
        <v>326</v>
      </c>
      <c r="H86" s="3" t="s">
        <v>327</v>
      </c>
      <c r="I86" s="3" t="s">
        <v>328</v>
      </c>
      <c r="J86" s="3" t="s">
        <v>329</v>
      </c>
      <c r="K86" s="3" t="s">
        <v>22</v>
      </c>
      <c r="L86" s="10">
        <v>40</v>
      </c>
      <c r="M86" s="10">
        <v>25</v>
      </c>
      <c r="N86" s="10">
        <v>20</v>
      </c>
      <c r="O86" s="11">
        <v>0</v>
      </c>
      <c r="P86" s="10">
        <v>40</v>
      </c>
      <c r="Q86" s="10">
        <v>40</v>
      </c>
      <c r="R86" s="10">
        <v>30</v>
      </c>
      <c r="S86" s="10">
        <v>3</v>
      </c>
      <c r="T86" s="10">
        <v>5</v>
      </c>
      <c r="U86" s="9">
        <f t="shared" si="8"/>
        <v>120</v>
      </c>
      <c r="V86" s="9">
        <f t="shared" si="9"/>
        <v>105</v>
      </c>
      <c r="W86" s="9">
        <f t="shared" si="10"/>
        <v>50</v>
      </c>
      <c r="X86" s="9">
        <f t="shared" si="11"/>
        <v>130</v>
      </c>
      <c r="Y86" s="9">
        <f t="shared" si="12"/>
        <v>115</v>
      </c>
      <c r="Z86" s="9">
        <f t="shared" si="13"/>
        <v>60</v>
      </c>
      <c r="AA86" s="3" t="s">
        <v>341</v>
      </c>
      <c r="AB86" s="3" t="s">
        <v>331</v>
      </c>
    </row>
    <row r="87" spans="1:28" ht="76" customHeight="1">
      <c r="A87" s="6" t="s">
        <v>58</v>
      </c>
      <c r="B87" s="3" t="s">
        <v>199</v>
      </c>
      <c r="C87" s="3" t="s">
        <v>332</v>
      </c>
      <c r="D87" s="13" t="s">
        <v>189</v>
      </c>
      <c r="E87" s="8">
        <v>1</v>
      </c>
      <c r="F87" s="12" t="str">
        <f t="shared" si="7"/>
        <v>45 × 30 × 110</v>
      </c>
      <c r="G87" s="3" t="s">
        <v>326</v>
      </c>
      <c r="H87" s="3" t="s">
        <v>327</v>
      </c>
      <c r="I87" s="3" t="s">
        <v>333</v>
      </c>
      <c r="J87" s="3" t="s">
        <v>329</v>
      </c>
      <c r="K87" s="3" t="s">
        <v>22</v>
      </c>
      <c r="L87" s="10">
        <v>36</v>
      </c>
      <c r="M87" s="10">
        <v>21</v>
      </c>
      <c r="N87" s="10">
        <v>70</v>
      </c>
      <c r="O87" s="11">
        <v>0</v>
      </c>
      <c r="P87" s="10">
        <v>0</v>
      </c>
      <c r="Q87" s="10">
        <v>0</v>
      </c>
      <c r="R87" s="10">
        <v>30</v>
      </c>
      <c r="S87" s="10">
        <v>3</v>
      </c>
      <c r="T87" s="10">
        <v>5</v>
      </c>
      <c r="U87" s="9">
        <f t="shared" si="8"/>
        <v>36</v>
      </c>
      <c r="V87" s="9">
        <f t="shared" si="9"/>
        <v>21</v>
      </c>
      <c r="W87" s="9">
        <f t="shared" si="10"/>
        <v>100</v>
      </c>
      <c r="X87" s="9">
        <f t="shared" si="11"/>
        <v>45</v>
      </c>
      <c r="Y87" s="9">
        <f t="shared" si="12"/>
        <v>30</v>
      </c>
      <c r="Z87" s="9">
        <f t="shared" si="13"/>
        <v>110</v>
      </c>
      <c r="AA87" s="3" t="s">
        <v>342</v>
      </c>
      <c r="AB87" s="3" t="s">
        <v>335</v>
      </c>
    </row>
    <row r="88" spans="1:28" ht="76" customHeight="1">
      <c r="A88" s="6" t="s">
        <v>58</v>
      </c>
      <c r="B88" s="3" t="s">
        <v>199</v>
      </c>
      <c r="C88" s="3" t="s">
        <v>336</v>
      </c>
      <c r="D88" s="14" t="s">
        <v>337</v>
      </c>
      <c r="E88" s="8">
        <v>1</v>
      </c>
      <c r="F88" s="12" t="str">
        <f t="shared" si="7"/>
        <v>110 × 95 × 210</v>
      </c>
      <c r="G88" s="3" t="s">
        <v>326</v>
      </c>
      <c r="H88" s="3" t="s">
        <v>327</v>
      </c>
      <c r="I88" s="3" t="s">
        <v>338</v>
      </c>
      <c r="J88" s="3" t="s">
        <v>329</v>
      </c>
      <c r="K88" s="3" t="s">
        <v>22</v>
      </c>
      <c r="L88" s="10">
        <v>40</v>
      </c>
      <c r="M88" s="10">
        <v>25</v>
      </c>
      <c r="N88" s="10">
        <v>200</v>
      </c>
      <c r="O88" s="11">
        <v>0</v>
      </c>
      <c r="P88" s="10">
        <v>30</v>
      </c>
      <c r="Q88" s="10">
        <v>30</v>
      </c>
      <c r="R88" s="10">
        <v>0</v>
      </c>
      <c r="S88" s="10">
        <v>3</v>
      </c>
      <c r="T88" s="10">
        <v>5</v>
      </c>
      <c r="U88" s="9">
        <f t="shared" si="8"/>
        <v>100</v>
      </c>
      <c r="V88" s="9">
        <f t="shared" si="9"/>
        <v>85</v>
      </c>
      <c r="W88" s="9">
        <f t="shared" si="10"/>
        <v>200</v>
      </c>
      <c r="X88" s="9">
        <f t="shared" si="11"/>
        <v>110</v>
      </c>
      <c r="Y88" s="9">
        <f t="shared" si="12"/>
        <v>95</v>
      </c>
      <c r="Z88" s="9">
        <f t="shared" si="13"/>
        <v>210</v>
      </c>
      <c r="AA88" s="3" t="s">
        <v>343</v>
      </c>
      <c r="AB88" s="3" t="s">
        <v>340</v>
      </c>
    </row>
    <row r="89" spans="1:28" ht="76" customHeight="1">
      <c r="A89" s="6" t="s">
        <v>58</v>
      </c>
      <c r="B89" s="3" t="s">
        <v>202</v>
      </c>
      <c r="C89" s="3" t="s">
        <v>325</v>
      </c>
      <c r="D89" s="14" t="s">
        <v>196</v>
      </c>
      <c r="E89" s="8">
        <v>1</v>
      </c>
      <c r="F89" s="12" t="str">
        <f t="shared" si="7"/>
        <v>130 × 115 × 60</v>
      </c>
      <c r="G89" s="3" t="s">
        <v>326</v>
      </c>
      <c r="H89" s="3" t="s">
        <v>327</v>
      </c>
      <c r="I89" s="3" t="s">
        <v>328</v>
      </c>
      <c r="J89" s="3" t="s">
        <v>329</v>
      </c>
      <c r="K89" s="3" t="s">
        <v>22</v>
      </c>
      <c r="L89" s="10">
        <v>40</v>
      </c>
      <c r="M89" s="10">
        <v>25</v>
      </c>
      <c r="N89" s="10">
        <v>20</v>
      </c>
      <c r="O89" s="11">
        <v>0</v>
      </c>
      <c r="P89" s="10">
        <v>40</v>
      </c>
      <c r="Q89" s="10">
        <v>40</v>
      </c>
      <c r="R89" s="10">
        <v>30</v>
      </c>
      <c r="S89" s="10">
        <v>3</v>
      </c>
      <c r="T89" s="10">
        <v>5</v>
      </c>
      <c r="U89" s="9">
        <f t="shared" si="8"/>
        <v>120</v>
      </c>
      <c r="V89" s="9">
        <f t="shared" si="9"/>
        <v>105</v>
      </c>
      <c r="W89" s="9">
        <f t="shared" si="10"/>
        <v>50</v>
      </c>
      <c r="X89" s="9">
        <f t="shared" si="11"/>
        <v>130</v>
      </c>
      <c r="Y89" s="9">
        <f t="shared" si="12"/>
        <v>115</v>
      </c>
      <c r="Z89" s="9">
        <f t="shared" si="13"/>
        <v>60</v>
      </c>
      <c r="AA89" s="3" t="s">
        <v>344</v>
      </c>
      <c r="AB89" s="3" t="s">
        <v>331</v>
      </c>
    </row>
    <row r="90" spans="1:28" ht="76" customHeight="1">
      <c r="A90" s="6" t="s">
        <v>58</v>
      </c>
      <c r="B90" s="3" t="s">
        <v>202</v>
      </c>
      <c r="C90" s="3" t="s">
        <v>332</v>
      </c>
      <c r="D90" s="13" t="s">
        <v>189</v>
      </c>
      <c r="E90" s="8">
        <v>1</v>
      </c>
      <c r="F90" s="12" t="str">
        <f t="shared" si="7"/>
        <v>45 × 30 × 110</v>
      </c>
      <c r="G90" s="3" t="s">
        <v>326</v>
      </c>
      <c r="H90" s="3" t="s">
        <v>327</v>
      </c>
      <c r="I90" s="3" t="s">
        <v>333</v>
      </c>
      <c r="J90" s="3" t="s">
        <v>329</v>
      </c>
      <c r="K90" s="3" t="s">
        <v>22</v>
      </c>
      <c r="L90" s="10">
        <v>36</v>
      </c>
      <c r="M90" s="10">
        <v>21</v>
      </c>
      <c r="N90" s="10">
        <v>70</v>
      </c>
      <c r="O90" s="11">
        <v>0</v>
      </c>
      <c r="P90" s="10">
        <v>0</v>
      </c>
      <c r="Q90" s="10">
        <v>0</v>
      </c>
      <c r="R90" s="10">
        <v>30</v>
      </c>
      <c r="S90" s="10">
        <v>3</v>
      </c>
      <c r="T90" s="10">
        <v>5</v>
      </c>
      <c r="U90" s="9">
        <f t="shared" si="8"/>
        <v>36</v>
      </c>
      <c r="V90" s="9">
        <f t="shared" si="9"/>
        <v>21</v>
      </c>
      <c r="W90" s="9">
        <f t="shared" si="10"/>
        <v>100</v>
      </c>
      <c r="X90" s="9">
        <f t="shared" si="11"/>
        <v>45</v>
      </c>
      <c r="Y90" s="9">
        <f t="shared" si="12"/>
        <v>30</v>
      </c>
      <c r="Z90" s="9">
        <f t="shared" si="13"/>
        <v>110</v>
      </c>
      <c r="AA90" s="3" t="s">
        <v>345</v>
      </c>
      <c r="AB90" s="3" t="s">
        <v>335</v>
      </c>
    </row>
    <row r="91" spans="1:28" ht="76" customHeight="1">
      <c r="A91" s="6" t="s">
        <v>58</v>
      </c>
      <c r="B91" s="3" t="s">
        <v>202</v>
      </c>
      <c r="C91" s="3" t="s">
        <v>336</v>
      </c>
      <c r="D91" s="14" t="s">
        <v>337</v>
      </c>
      <c r="E91" s="8">
        <v>1</v>
      </c>
      <c r="F91" s="12" t="str">
        <f t="shared" si="7"/>
        <v>110 × 95 × 210</v>
      </c>
      <c r="G91" s="3" t="s">
        <v>326</v>
      </c>
      <c r="H91" s="3" t="s">
        <v>327</v>
      </c>
      <c r="I91" s="3" t="s">
        <v>338</v>
      </c>
      <c r="J91" s="3" t="s">
        <v>329</v>
      </c>
      <c r="K91" s="3" t="s">
        <v>22</v>
      </c>
      <c r="L91" s="10">
        <v>40</v>
      </c>
      <c r="M91" s="10">
        <v>25</v>
      </c>
      <c r="N91" s="10">
        <v>200</v>
      </c>
      <c r="O91" s="11">
        <v>0</v>
      </c>
      <c r="P91" s="10">
        <v>30</v>
      </c>
      <c r="Q91" s="10">
        <v>30</v>
      </c>
      <c r="R91" s="10">
        <v>0</v>
      </c>
      <c r="S91" s="10">
        <v>3</v>
      </c>
      <c r="T91" s="10">
        <v>5</v>
      </c>
      <c r="U91" s="9">
        <f t="shared" si="8"/>
        <v>100</v>
      </c>
      <c r="V91" s="9">
        <f t="shared" si="9"/>
        <v>85</v>
      </c>
      <c r="W91" s="9">
        <f t="shared" si="10"/>
        <v>200</v>
      </c>
      <c r="X91" s="9">
        <f t="shared" si="11"/>
        <v>110</v>
      </c>
      <c r="Y91" s="9">
        <f t="shared" si="12"/>
        <v>95</v>
      </c>
      <c r="Z91" s="9">
        <f t="shared" si="13"/>
        <v>210</v>
      </c>
      <c r="AA91" s="3" t="s">
        <v>346</v>
      </c>
      <c r="AB91" s="3" t="s">
        <v>340</v>
      </c>
    </row>
    <row r="92" spans="1:28" ht="76" customHeight="1">
      <c r="A92" s="6" t="s">
        <v>58</v>
      </c>
      <c r="B92" s="3" t="s">
        <v>205</v>
      </c>
      <c r="C92" s="3" t="s">
        <v>325</v>
      </c>
      <c r="D92" s="14" t="s">
        <v>196</v>
      </c>
      <c r="E92" s="8">
        <v>1</v>
      </c>
      <c r="F92" s="12" t="str">
        <f t="shared" si="7"/>
        <v>130 × 115 × 60</v>
      </c>
      <c r="G92" s="3" t="s">
        <v>326</v>
      </c>
      <c r="H92" s="3" t="s">
        <v>327</v>
      </c>
      <c r="I92" s="3" t="s">
        <v>328</v>
      </c>
      <c r="J92" s="3" t="s">
        <v>329</v>
      </c>
      <c r="K92" s="3" t="s">
        <v>22</v>
      </c>
      <c r="L92" s="10">
        <v>40</v>
      </c>
      <c r="M92" s="10">
        <v>25</v>
      </c>
      <c r="N92" s="10">
        <v>20</v>
      </c>
      <c r="O92" s="11">
        <v>0</v>
      </c>
      <c r="P92" s="10">
        <v>40</v>
      </c>
      <c r="Q92" s="10">
        <v>40</v>
      </c>
      <c r="R92" s="10">
        <v>30</v>
      </c>
      <c r="S92" s="10">
        <v>3</v>
      </c>
      <c r="T92" s="10">
        <v>5</v>
      </c>
      <c r="U92" s="9">
        <f t="shared" si="8"/>
        <v>120</v>
      </c>
      <c r="V92" s="9">
        <f t="shared" si="9"/>
        <v>105</v>
      </c>
      <c r="W92" s="9">
        <f t="shared" si="10"/>
        <v>50</v>
      </c>
      <c r="X92" s="9">
        <f t="shared" si="11"/>
        <v>130</v>
      </c>
      <c r="Y92" s="9">
        <f t="shared" si="12"/>
        <v>115</v>
      </c>
      <c r="Z92" s="9">
        <f t="shared" si="13"/>
        <v>60</v>
      </c>
      <c r="AA92" s="3" t="s">
        <v>347</v>
      </c>
      <c r="AB92" s="3" t="s">
        <v>331</v>
      </c>
    </row>
    <row r="93" spans="1:28" ht="76" customHeight="1">
      <c r="A93" s="6" t="s">
        <v>58</v>
      </c>
      <c r="B93" s="3" t="s">
        <v>205</v>
      </c>
      <c r="C93" s="3" t="s">
        <v>332</v>
      </c>
      <c r="D93" s="13" t="s">
        <v>189</v>
      </c>
      <c r="E93" s="8">
        <v>1</v>
      </c>
      <c r="F93" s="12" t="str">
        <f t="shared" si="7"/>
        <v>45 × 30 × 110</v>
      </c>
      <c r="G93" s="3" t="s">
        <v>326</v>
      </c>
      <c r="H93" s="3" t="s">
        <v>327</v>
      </c>
      <c r="I93" s="3" t="s">
        <v>333</v>
      </c>
      <c r="J93" s="3" t="s">
        <v>329</v>
      </c>
      <c r="K93" s="3" t="s">
        <v>22</v>
      </c>
      <c r="L93" s="10">
        <v>36</v>
      </c>
      <c r="M93" s="10">
        <v>21</v>
      </c>
      <c r="N93" s="10">
        <v>70</v>
      </c>
      <c r="O93" s="11">
        <v>0</v>
      </c>
      <c r="P93" s="10">
        <v>0</v>
      </c>
      <c r="Q93" s="10">
        <v>0</v>
      </c>
      <c r="R93" s="10">
        <v>30</v>
      </c>
      <c r="S93" s="10">
        <v>3</v>
      </c>
      <c r="T93" s="10">
        <v>5</v>
      </c>
      <c r="U93" s="9">
        <f t="shared" si="8"/>
        <v>36</v>
      </c>
      <c r="V93" s="9">
        <f t="shared" si="9"/>
        <v>21</v>
      </c>
      <c r="W93" s="9">
        <f t="shared" si="10"/>
        <v>100</v>
      </c>
      <c r="X93" s="9">
        <f t="shared" si="11"/>
        <v>45</v>
      </c>
      <c r="Y93" s="9">
        <f t="shared" si="12"/>
        <v>30</v>
      </c>
      <c r="Z93" s="9">
        <f t="shared" si="13"/>
        <v>110</v>
      </c>
      <c r="AA93" s="3" t="s">
        <v>348</v>
      </c>
      <c r="AB93" s="3" t="s">
        <v>335</v>
      </c>
    </row>
    <row r="94" spans="1:28" ht="76" customHeight="1">
      <c r="A94" s="6" t="s">
        <v>58</v>
      </c>
      <c r="B94" s="3" t="s">
        <v>205</v>
      </c>
      <c r="C94" s="3" t="s">
        <v>336</v>
      </c>
      <c r="D94" s="14" t="s">
        <v>337</v>
      </c>
      <c r="E94" s="8">
        <v>1</v>
      </c>
      <c r="F94" s="12" t="str">
        <f t="shared" si="7"/>
        <v>110 × 95 × 210</v>
      </c>
      <c r="G94" s="3" t="s">
        <v>326</v>
      </c>
      <c r="H94" s="3" t="s">
        <v>327</v>
      </c>
      <c r="I94" s="3" t="s">
        <v>338</v>
      </c>
      <c r="J94" s="3" t="s">
        <v>329</v>
      </c>
      <c r="K94" s="3" t="s">
        <v>22</v>
      </c>
      <c r="L94" s="10">
        <v>40</v>
      </c>
      <c r="M94" s="10">
        <v>25</v>
      </c>
      <c r="N94" s="10">
        <v>200</v>
      </c>
      <c r="O94" s="11">
        <v>0</v>
      </c>
      <c r="P94" s="10">
        <v>30</v>
      </c>
      <c r="Q94" s="10">
        <v>30</v>
      </c>
      <c r="R94" s="10">
        <v>0</v>
      </c>
      <c r="S94" s="10">
        <v>3</v>
      </c>
      <c r="T94" s="10">
        <v>5</v>
      </c>
      <c r="U94" s="9">
        <f t="shared" si="8"/>
        <v>100</v>
      </c>
      <c r="V94" s="9">
        <f t="shared" si="9"/>
        <v>85</v>
      </c>
      <c r="W94" s="9">
        <f t="shared" si="10"/>
        <v>200</v>
      </c>
      <c r="X94" s="9">
        <f t="shared" si="11"/>
        <v>110</v>
      </c>
      <c r="Y94" s="9">
        <f t="shared" si="12"/>
        <v>95</v>
      </c>
      <c r="Z94" s="9">
        <f t="shared" si="13"/>
        <v>210</v>
      </c>
      <c r="AA94" s="3" t="s">
        <v>349</v>
      </c>
      <c r="AB94" s="3" t="s">
        <v>340</v>
      </c>
    </row>
    <row r="95" spans="1:28" ht="76" customHeight="1">
      <c r="A95" s="6" t="s">
        <v>58</v>
      </c>
      <c r="B95" s="3" t="s">
        <v>208</v>
      </c>
      <c r="C95" s="3" t="s">
        <v>325</v>
      </c>
      <c r="D95" s="14" t="s">
        <v>196</v>
      </c>
      <c r="E95" s="8">
        <v>1</v>
      </c>
      <c r="F95" s="12" t="str">
        <f t="shared" si="7"/>
        <v>130 × 115 × 60</v>
      </c>
      <c r="G95" s="3" t="s">
        <v>326</v>
      </c>
      <c r="H95" s="3" t="s">
        <v>327</v>
      </c>
      <c r="I95" s="3" t="s">
        <v>328</v>
      </c>
      <c r="J95" s="3" t="s">
        <v>329</v>
      </c>
      <c r="K95" s="3" t="s">
        <v>22</v>
      </c>
      <c r="L95" s="10">
        <v>40</v>
      </c>
      <c r="M95" s="10">
        <v>25</v>
      </c>
      <c r="N95" s="10">
        <v>20</v>
      </c>
      <c r="O95" s="11">
        <v>0</v>
      </c>
      <c r="P95" s="10">
        <v>40</v>
      </c>
      <c r="Q95" s="10">
        <v>40</v>
      </c>
      <c r="R95" s="10">
        <v>30</v>
      </c>
      <c r="S95" s="10">
        <v>3</v>
      </c>
      <c r="T95" s="10">
        <v>5</v>
      </c>
      <c r="U95" s="9">
        <f t="shared" si="8"/>
        <v>120</v>
      </c>
      <c r="V95" s="9">
        <f t="shared" si="9"/>
        <v>105</v>
      </c>
      <c r="W95" s="9">
        <f t="shared" si="10"/>
        <v>50</v>
      </c>
      <c r="X95" s="9">
        <f t="shared" si="11"/>
        <v>130</v>
      </c>
      <c r="Y95" s="9">
        <f t="shared" si="12"/>
        <v>115</v>
      </c>
      <c r="Z95" s="9">
        <f t="shared" si="13"/>
        <v>60</v>
      </c>
      <c r="AA95" s="3" t="s">
        <v>350</v>
      </c>
      <c r="AB95" s="3" t="s">
        <v>331</v>
      </c>
    </row>
    <row r="96" spans="1:28" ht="76" customHeight="1">
      <c r="A96" s="6" t="s">
        <v>58</v>
      </c>
      <c r="B96" s="3" t="s">
        <v>208</v>
      </c>
      <c r="C96" s="3" t="s">
        <v>332</v>
      </c>
      <c r="D96" s="13" t="s">
        <v>189</v>
      </c>
      <c r="E96" s="8">
        <v>1</v>
      </c>
      <c r="F96" s="12" t="str">
        <f t="shared" si="7"/>
        <v>45 × 30 × 110</v>
      </c>
      <c r="G96" s="3" t="s">
        <v>326</v>
      </c>
      <c r="H96" s="3" t="s">
        <v>327</v>
      </c>
      <c r="I96" s="3" t="s">
        <v>333</v>
      </c>
      <c r="J96" s="3" t="s">
        <v>329</v>
      </c>
      <c r="K96" s="3" t="s">
        <v>22</v>
      </c>
      <c r="L96" s="10">
        <v>36</v>
      </c>
      <c r="M96" s="10">
        <v>21</v>
      </c>
      <c r="N96" s="10">
        <v>70</v>
      </c>
      <c r="O96" s="11">
        <v>0</v>
      </c>
      <c r="P96" s="10">
        <v>0</v>
      </c>
      <c r="Q96" s="10">
        <v>0</v>
      </c>
      <c r="R96" s="10">
        <v>30</v>
      </c>
      <c r="S96" s="10">
        <v>3</v>
      </c>
      <c r="T96" s="10">
        <v>5</v>
      </c>
      <c r="U96" s="9">
        <f t="shared" si="8"/>
        <v>36</v>
      </c>
      <c r="V96" s="9">
        <f t="shared" si="9"/>
        <v>21</v>
      </c>
      <c r="W96" s="9">
        <f t="shared" si="10"/>
        <v>100</v>
      </c>
      <c r="X96" s="9">
        <f t="shared" si="11"/>
        <v>45</v>
      </c>
      <c r="Y96" s="9">
        <f t="shared" si="12"/>
        <v>30</v>
      </c>
      <c r="Z96" s="9">
        <f t="shared" si="13"/>
        <v>110</v>
      </c>
      <c r="AA96" s="3" t="s">
        <v>351</v>
      </c>
      <c r="AB96" s="3" t="s">
        <v>335</v>
      </c>
    </row>
    <row r="97" spans="1:28" ht="76" customHeight="1">
      <c r="A97" s="6" t="s">
        <v>58</v>
      </c>
      <c r="B97" s="3" t="s">
        <v>208</v>
      </c>
      <c r="C97" s="3" t="s">
        <v>336</v>
      </c>
      <c r="D97" s="14" t="s">
        <v>337</v>
      </c>
      <c r="E97" s="8">
        <v>1</v>
      </c>
      <c r="F97" s="12" t="str">
        <f t="shared" si="7"/>
        <v>110 × 95 × 210</v>
      </c>
      <c r="G97" s="3" t="s">
        <v>326</v>
      </c>
      <c r="H97" s="3" t="s">
        <v>327</v>
      </c>
      <c r="I97" s="3" t="s">
        <v>338</v>
      </c>
      <c r="J97" s="3" t="s">
        <v>329</v>
      </c>
      <c r="K97" s="3" t="s">
        <v>22</v>
      </c>
      <c r="L97" s="10">
        <v>40</v>
      </c>
      <c r="M97" s="10">
        <v>25</v>
      </c>
      <c r="N97" s="10">
        <v>200</v>
      </c>
      <c r="O97" s="11">
        <v>0</v>
      </c>
      <c r="P97" s="10">
        <v>30</v>
      </c>
      <c r="Q97" s="10">
        <v>30</v>
      </c>
      <c r="R97" s="10">
        <v>0</v>
      </c>
      <c r="S97" s="10">
        <v>3</v>
      </c>
      <c r="T97" s="10">
        <v>5</v>
      </c>
      <c r="U97" s="9">
        <f t="shared" si="8"/>
        <v>100</v>
      </c>
      <c r="V97" s="9">
        <f t="shared" si="9"/>
        <v>85</v>
      </c>
      <c r="W97" s="9">
        <f t="shared" si="10"/>
        <v>200</v>
      </c>
      <c r="X97" s="9">
        <f t="shared" si="11"/>
        <v>110</v>
      </c>
      <c r="Y97" s="9">
        <f t="shared" si="12"/>
        <v>95</v>
      </c>
      <c r="Z97" s="9">
        <f t="shared" si="13"/>
        <v>210</v>
      </c>
      <c r="AA97" s="3" t="s">
        <v>352</v>
      </c>
      <c r="AB97" s="3" t="s">
        <v>340</v>
      </c>
    </row>
    <row r="98" spans="1:28" ht="76" customHeight="1">
      <c r="A98" s="6" t="s">
        <v>58</v>
      </c>
      <c r="B98" s="3" t="s">
        <v>211</v>
      </c>
      <c r="C98" s="3" t="s">
        <v>325</v>
      </c>
      <c r="D98" s="14" t="s">
        <v>196</v>
      </c>
      <c r="E98" s="8">
        <v>1</v>
      </c>
      <c r="F98" s="12" t="str">
        <f t="shared" si="7"/>
        <v>130 × 115 × 60</v>
      </c>
      <c r="G98" s="3" t="s">
        <v>326</v>
      </c>
      <c r="H98" s="3" t="s">
        <v>327</v>
      </c>
      <c r="I98" s="3" t="s">
        <v>328</v>
      </c>
      <c r="J98" s="3" t="s">
        <v>329</v>
      </c>
      <c r="K98" s="3" t="s">
        <v>22</v>
      </c>
      <c r="L98" s="10">
        <v>40</v>
      </c>
      <c r="M98" s="10">
        <v>25</v>
      </c>
      <c r="N98" s="10">
        <v>20</v>
      </c>
      <c r="O98" s="11">
        <v>0</v>
      </c>
      <c r="P98" s="10">
        <v>40</v>
      </c>
      <c r="Q98" s="10">
        <v>40</v>
      </c>
      <c r="R98" s="10">
        <v>30</v>
      </c>
      <c r="S98" s="10">
        <v>3</v>
      </c>
      <c r="T98" s="10">
        <v>5</v>
      </c>
      <c r="U98" s="9">
        <f t="shared" si="8"/>
        <v>120</v>
      </c>
      <c r="V98" s="9">
        <f t="shared" si="9"/>
        <v>105</v>
      </c>
      <c r="W98" s="9">
        <f t="shared" si="10"/>
        <v>50</v>
      </c>
      <c r="X98" s="9">
        <f t="shared" si="11"/>
        <v>130</v>
      </c>
      <c r="Y98" s="9">
        <f t="shared" si="12"/>
        <v>115</v>
      </c>
      <c r="Z98" s="9">
        <f t="shared" si="13"/>
        <v>60</v>
      </c>
      <c r="AA98" s="3" t="s">
        <v>353</v>
      </c>
      <c r="AB98" s="3" t="s">
        <v>331</v>
      </c>
    </row>
    <row r="99" spans="1:28" ht="76" customHeight="1">
      <c r="A99" s="6" t="s">
        <v>58</v>
      </c>
      <c r="B99" s="3" t="s">
        <v>211</v>
      </c>
      <c r="C99" s="3" t="s">
        <v>332</v>
      </c>
      <c r="D99" s="13" t="s">
        <v>189</v>
      </c>
      <c r="E99" s="8">
        <v>1</v>
      </c>
      <c r="F99" s="12" t="str">
        <f t="shared" si="7"/>
        <v>45 × 30 × 110</v>
      </c>
      <c r="G99" s="3" t="s">
        <v>326</v>
      </c>
      <c r="H99" s="3" t="s">
        <v>327</v>
      </c>
      <c r="I99" s="3" t="s">
        <v>333</v>
      </c>
      <c r="J99" s="3" t="s">
        <v>329</v>
      </c>
      <c r="K99" s="3" t="s">
        <v>22</v>
      </c>
      <c r="L99" s="10">
        <v>36</v>
      </c>
      <c r="M99" s="10">
        <v>21</v>
      </c>
      <c r="N99" s="10">
        <v>70</v>
      </c>
      <c r="O99" s="11">
        <v>0</v>
      </c>
      <c r="P99" s="10">
        <v>0</v>
      </c>
      <c r="Q99" s="10">
        <v>0</v>
      </c>
      <c r="R99" s="10">
        <v>30</v>
      </c>
      <c r="S99" s="10">
        <v>3</v>
      </c>
      <c r="T99" s="10">
        <v>5</v>
      </c>
      <c r="U99" s="9">
        <f t="shared" si="8"/>
        <v>36</v>
      </c>
      <c r="V99" s="9">
        <f t="shared" si="9"/>
        <v>21</v>
      </c>
      <c r="W99" s="9">
        <f t="shared" si="10"/>
        <v>100</v>
      </c>
      <c r="X99" s="9">
        <f t="shared" si="11"/>
        <v>45</v>
      </c>
      <c r="Y99" s="9">
        <f t="shared" si="12"/>
        <v>30</v>
      </c>
      <c r="Z99" s="9">
        <f t="shared" si="13"/>
        <v>110</v>
      </c>
      <c r="AA99" s="3" t="s">
        <v>354</v>
      </c>
      <c r="AB99" s="3" t="s">
        <v>335</v>
      </c>
    </row>
    <row r="100" spans="1:28" ht="76" customHeight="1">
      <c r="A100" s="6" t="s">
        <v>58</v>
      </c>
      <c r="B100" s="3" t="s">
        <v>211</v>
      </c>
      <c r="C100" s="3" t="s">
        <v>336</v>
      </c>
      <c r="D100" s="14" t="s">
        <v>337</v>
      </c>
      <c r="E100" s="8">
        <v>1</v>
      </c>
      <c r="F100" s="12" t="str">
        <f t="shared" si="7"/>
        <v>110 × 95 × 210</v>
      </c>
      <c r="G100" s="3" t="s">
        <v>326</v>
      </c>
      <c r="H100" s="3" t="s">
        <v>327</v>
      </c>
      <c r="I100" s="3" t="s">
        <v>338</v>
      </c>
      <c r="J100" s="3" t="s">
        <v>329</v>
      </c>
      <c r="K100" s="3" t="s">
        <v>22</v>
      </c>
      <c r="L100" s="10">
        <v>40</v>
      </c>
      <c r="M100" s="10">
        <v>25</v>
      </c>
      <c r="N100" s="10">
        <v>200</v>
      </c>
      <c r="O100" s="11">
        <v>0</v>
      </c>
      <c r="P100" s="10">
        <v>30</v>
      </c>
      <c r="Q100" s="10">
        <v>30</v>
      </c>
      <c r="R100" s="10">
        <v>0</v>
      </c>
      <c r="S100" s="10">
        <v>3</v>
      </c>
      <c r="T100" s="10">
        <v>5</v>
      </c>
      <c r="U100" s="9">
        <f t="shared" si="8"/>
        <v>100</v>
      </c>
      <c r="V100" s="9">
        <f t="shared" si="9"/>
        <v>85</v>
      </c>
      <c r="W100" s="9">
        <f t="shared" si="10"/>
        <v>200</v>
      </c>
      <c r="X100" s="9">
        <f t="shared" si="11"/>
        <v>110</v>
      </c>
      <c r="Y100" s="9">
        <f t="shared" si="12"/>
        <v>95</v>
      </c>
      <c r="Z100" s="9">
        <f t="shared" si="13"/>
        <v>210</v>
      </c>
      <c r="AA100" s="3" t="s">
        <v>355</v>
      </c>
      <c r="AB100" s="3" t="s">
        <v>340</v>
      </c>
    </row>
    <row r="101" spans="1:28" ht="76" customHeight="1">
      <c r="A101" s="6" t="s">
        <v>65</v>
      </c>
      <c r="B101" s="3" t="s">
        <v>187</v>
      </c>
      <c r="C101" s="3" t="s">
        <v>356</v>
      </c>
      <c r="D101" s="14" t="s">
        <v>245</v>
      </c>
      <c r="E101" s="8">
        <v>2</v>
      </c>
      <c r="F101" s="12" t="str">
        <f t="shared" si="7"/>
        <v>170 × 190 × 85</v>
      </c>
      <c r="G101" s="3" t="s">
        <v>357</v>
      </c>
      <c r="H101" s="3" t="s">
        <v>358</v>
      </c>
      <c r="I101" s="3" t="s">
        <v>359</v>
      </c>
      <c r="J101" s="3" t="s">
        <v>360</v>
      </c>
      <c r="K101" s="3" t="s">
        <v>22</v>
      </c>
      <c r="L101" s="10">
        <v>100</v>
      </c>
      <c r="M101" s="10">
        <v>120</v>
      </c>
      <c r="N101" s="10">
        <v>50</v>
      </c>
      <c r="O101" s="11">
        <v>0.02</v>
      </c>
      <c r="P101" s="10">
        <v>30</v>
      </c>
      <c r="Q101" s="10">
        <v>30</v>
      </c>
      <c r="R101" s="10">
        <v>25</v>
      </c>
      <c r="S101" s="10">
        <v>3</v>
      </c>
      <c r="T101" s="10">
        <v>5</v>
      </c>
      <c r="U101" s="9">
        <f t="shared" si="8"/>
        <v>162</v>
      </c>
      <c r="V101" s="9">
        <f t="shared" si="9"/>
        <v>182.4</v>
      </c>
      <c r="W101" s="9">
        <f t="shared" si="10"/>
        <v>76</v>
      </c>
      <c r="X101" s="9">
        <f t="shared" si="11"/>
        <v>170</v>
      </c>
      <c r="Y101" s="9">
        <f t="shared" si="12"/>
        <v>190</v>
      </c>
      <c r="Z101" s="9">
        <f t="shared" si="13"/>
        <v>85</v>
      </c>
      <c r="AA101" s="3" t="s">
        <v>361</v>
      </c>
      <c r="AB101" s="3" t="s">
        <v>362</v>
      </c>
    </row>
    <row r="102" spans="1:28" ht="76" customHeight="1">
      <c r="A102" s="6" t="s">
        <v>65</v>
      </c>
      <c r="B102" s="3" t="s">
        <v>187</v>
      </c>
      <c r="C102" s="3" t="s">
        <v>363</v>
      </c>
      <c r="D102" s="13" t="s">
        <v>364</v>
      </c>
      <c r="E102" s="8">
        <v>1</v>
      </c>
      <c r="F102" s="12" t="str">
        <f t="shared" si="7"/>
        <v>Ø30 × 90</v>
      </c>
      <c r="G102" s="3" t="s">
        <v>357</v>
      </c>
      <c r="H102" s="3" t="s">
        <v>358</v>
      </c>
      <c r="I102" s="3" t="s">
        <v>365</v>
      </c>
      <c r="J102" s="3" t="s">
        <v>360</v>
      </c>
      <c r="K102" s="3" t="s">
        <v>29</v>
      </c>
      <c r="L102" s="10">
        <v>20</v>
      </c>
      <c r="M102" s="15">
        <v>20</v>
      </c>
      <c r="N102" s="10">
        <v>60</v>
      </c>
      <c r="O102" s="11">
        <v>0</v>
      </c>
      <c r="P102" s="10">
        <v>0</v>
      </c>
      <c r="Q102" s="10">
        <v>0</v>
      </c>
      <c r="R102" s="10">
        <v>20</v>
      </c>
      <c r="S102" s="10">
        <v>3</v>
      </c>
      <c r="T102" s="10">
        <v>5</v>
      </c>
      <c r="U102" s="9">
        <f t="shared" si="8"/>
        <v>20</v>
      </c>
      <c r="V102" s="9" t="str">
        <f t="shared" si="9"/>
        <v/>
      </c>
      <c r="W102" s="9">
        <f t="shared" si="10"/>
        <v>80</v>
      </c>
      <c r="X102" s="9">
        <f t="shared" si="11"/>
        <v>30</v>
      </c>
      <c r="Y102" s="9" t="str">
        <f t="shared" si="12"/>
        <v/>
      </c>
      <c r="Z102" s="9">
        <f t="shared" si="13"/>
        <v>90</v>
      </c>
      <c r="AA102" s="3" t="s">
        <v>366</v>
      </c>
      <c r="AB102" s="3" t="s">
        <v>367</v>
      </c>
    </row>
    <row r="103" spans="1:28" ht="76" customHeight="1">
      <c r="A103" s="6" t="s">
        <v>65</v>
      </c>
      <c r="B103" s="3" t="s">
        <v>199</v>
      </c>
      <c r="C103" s="3" t="s">
        <v>356</v>
      </c>
      <c r="D103" s="14" t="s">
        <v>245</v>
      </c>
      <c r="E103" s="8">
        <v>2</v>
      </c>
      <c r="F103" s="12" t="str">
        <f t="shared" si="7"/>
        <v>170 × 190 × 85</v>
      </c>
      <c r="G103" s="3" t="s">
        <v>357</v>
      </c>
      <c r="H103" s="3" t="s">
        <v>358</v>
      </c>
      <c r="I103" s="3" t="s">
        <v>359</v>
      </c>
      <c r="J103" s="3" t="s">
        <v>360</v>
      </c>
      <c r="K103" s="3" t="s">
        <v>22</v>
      </c>
      <c r="L103" s="10">
        <v>100</v>
      </c>
      <c r="M103" s="10">
        <v>120</v>
      </c>
      <c r="N103" s="10">
        <v>50</v>
      </c>
      <c r="O103" s="11">
        <v>0.02</v>
      </c>
      <c r="P103" s="10">
        <v>30</v>
      </c>
      <c r="Q103" s="10">
        <v>30</v>
      </c>
      <c r="R103" s="10">
        <v>25</v>
      </c>
      <c r="S103" s="10">
        <v>3</v>
      </c>
      <c r="T103" s="10">
        <v>5</v>
      </c>
      <c r="U103" s="9">
        <f t="shared" si="8"/>
        <v>162</v>
      </c>
      <c r="V103" s="9">
        <f t="shared" si="9"/>
        <v>182.4</v>
      </c>
      <c r="W103" s="9">
        <f t="shared" si="10"/>
        <v>76</v>
      </c>
      <c r="X103" s="9">
        <f t="shared" si="11"/>
        <v>170</v>
      </c>
      <c r="Y103" s="9">
        <f t="shared" si="12"/>
        <v>190</v>
      </c>
      <c r="Z103" s="9">
        <f t="shared" si="13"/>
        <v>85</v>
      </c>
      <c r="AA103" s="3" t="s">
        <v>368</v>
      </c>
      <c r="AB103" s="3" t="s">
        <v>362</v>
      </c>
    </row>
    <row r="104" spans="1:28" ht="76" customHeight="1">
      <c r="A104" s="6" t="s">
        <v>65</v>
      </c>
      <c r="B104" s="3" t="s">
        <v>199</v>
      </c>
      <c r="C104" s="3" t="s">
        <v>363</v>
      </c>
      <c r="D104" s="13" t="s">
        <v>364</v>
      </c>
      <c r="E104" s="8">
        <v>1</v>
      </c>
      <c r="F104" s="12" t="str">
        <f t="shared" si="7"/>
        <v>Ø30 × 90</v>
      </c>
      <c r="G104" s="3" t="s">
        <v>357</v>
      </c>
      <c r="H104" s="3" t="s">
        <v>358</v>
      </c>
      <c r="I104" s="3" t="s">
        <v>365</v>
      </c>
      <c r="J104" s="3" t="s">
        <v>360</v>
      </c>
      <c r="K104" s="3" t="s">
        <v>29</v>
      </c>
      <c r="L104" s="10">
        <v>20</v>
      </c>
      <c r="M104" s="15">
        <v>20</v>
      </c>
      <c r="N104" s="10">
        <v>60</v>
      </c>
      <c r="O104" s="11">
        <v>0</v>
      </c>
      <c r="P104" s="10">
        <v>0</v>
      </c>
      <c r="Q104" s="10">
        <v>0</v>
      </c>
      <c r="R104" s="10">
        <v>20</v>
      </c>
      <c r="S104" s="10">
        <v>3</v>
      </c>
      <c r="T104" s="10">
        <v>5</v>
      </c>
      <c r="U104" s="9">
        <f t="shared" si="8"/>
        <v>20</v>
      </c>
      <c r="V104" s="9" t="str">
        <f t="shared" si="9"/>
        <v/>
      </c>
      <c r="W104" s="9">
        <f t="shared" si="10"/>
        <v>80</v>
      </c>
      <c r="X104" s="9">
        <f t="shared" si="11"/>
        <v>30</v>
      </c>
      <c r="Y104" s="9" t="str">
        <f t="shared" si="12"/>
        <v/>
      </c>
      <c r="Z104" s="9">
        <f t="shared" si="13"/>
        <v>90</v>
      </c>
      <c r="AA104" s="3" t="s">
        <v>369</v>
      </c>
      <c r="AB104" s="3" t="s">
        <v>367</v>
      </c>
    </row>
    <row r="105" spans="1:28" ht="76" customHeight="1">
      <c r="A105" s="6" t="s">
        <v>65</v>
      </c>
      <c r="B105" s="3" t="s">
        <v>202</v>
      </c>
      <c r="C105" s="3" t="s">
        <v>356</v>
      </c>
      <c r="D105" s="14" t="s">
        <v>245</v>
      </c>
      <c r="E105" s="8">
        <v>2</v>
      </c>
      <c r="F105" s="12" t="str">
        <f t="shared" si="7"/>
        <v>170 × 190 × 85</v>
      </c>
      <c r="G105" s="3" t="s">
        <v>357</v>
      </c>
      <c r="H105" s="3" t="s">
        <v>358</v>
      </c>
      <c r="I105" s="3" t="s">
        <v>359</v>
      </c>
      <c r="J105" s="3" t="s">
        <v>360</v>
      </c>
      <c r="K105" s="3" t="s">
        <v>22</v>
      </c>
      <c r="L105" s="10">
        <v>100</v>
      </c>
      <c r="M105" s="10">
        <v>120</v>
      </c>
      <c r="N105" s="10">
        <v>50</v>
      </c>
      <c r="O105" s="11">
        <v>0.02</v>
      </c>
      <c r="P105" s="10">
        <v>30</v>
      </c>
      <c r="Q105" s="10">
        <v>30</v>
      </c>
      <c r="R105" s="10">
        <v>25</v>
      </c>
      <c r="S105" s="10">
        <v>3</v>
      </c>
      <c r="T105" s="10">
        <v>5</v>
      </c>
      <c r="U105" s="9">
        <f t="shared" si="8"/>
        <v>162</v>
      </c>
      <c r="V105" s="9">
        <f t="shared" si="9"/>
        <v>182.4</v>
      </c>
      <c r="W105" s="9">
        <f t="shared" si="10"/>
        <v>76</v>
      </c>
      <c r="X105" s="9">
        <f t="shared" si="11"/>
        <v>170</v>
      </c>
      <c r="Y105" s="9">
        <f t="shared" si="12"/>
        <v>190</v>
      </c>
      <c r="Z105" s="9">
        <f t="shared" si="13"/>
        <v>85</v>
      </c>
      <c r="AA105" s="3" t="s">
        <v>370</v>
      </c>
      <c r="AB105" s="3" t="s">
        <v>362</v>
      </c>
    </row>
    <row r="106" spans="1:28" ht="76" customHeight="1">
      <c r="A106" s="6" t="s">
        <v>65</v>
      </c>
      <c r="B106" s="3" t="s">
        <v>202</v>
      </c>
      <c r="C106" s="3" t="s">
        <v>363</v>
      </c>
      <c r="D106" s="13" t="s">
        <v>364</v>
      </c>
      <c r="E106" s="8">
        <v>1</v>
      </c>
      <c r="F106" s="12" t="str">
        <f t="shared" si="7"/>
        <v>Ø30 × 90</v>
      </c>
      <c r="G106" s="3" t="s">
        <v>357</v>
      </c>
      <c r="H106" s="3" t="s">
        <v>358</v>
      </c>
      <c r="I106" s="3" t="s">
        <v>365</v>
      </c>
      <c r="J106" s="3" t="s">
        <v>360</v>
      </c>
      <c r="K106" s="3" t="s">
        <v>29</v>
      </c>
      <c r="L106" s="10">
        <v>20</v>
      </c>
      <c r="M106" s="15">
        <v>20</v>
      </c>
      <c r="N106" s="10">
        <v>60</v>
      </c>
      <c r="O106" s="11">
        <v>0</v>
      </c>
      <c r="P106" s="10">
        <v>0</v>
      </c>
      <c r="Q106" s="10">
        <v>0</v>
      </c>
      <c r="R106" s="10">
        <v>20</v>
      </c>
      <c r="S106" s="10">
        <v>3</v>
      </c>
      <c r="T106" s="10">
        <v>5</v>
      </c>
      <c r="U106" s="9">
        <f t="shared" si="8"/>
        <v>20</v>
      </c>
      <c r="V106" s="9" t="str">
        <f t="shared" si="9"/>
        <v/>
      </c>
      <c r="W106" s="9">
        <f t="shared" si="10"/>
        <v>80</v>
      </c>
      <c r="X106" s="9">
        <f t="shared" si="11"/>
        <v>30</v>
      </c>
      <c r="Y106" s="9" t="str">
        <f t="shared" si="12"/>
        <v/>
      </c>
      <c r="Z106" s="9">
        <f t="shared" si="13"/>
        <v>90</v>
      </c>
      <c r="AA106" s="3" t="s">
        <v>371</v>
      </c>
      <c r="AB106" s="3" t="s">
        <v>367</v>
      </c>
    </row>
    <row r="107" spans="1:28" ht="76" customHeight="1">
      <c r="A107" s="6" t="s">
        <v>65</v>
      </c>
      <c r="B107" s="3" t="s">
        <v>205</v>
      </c>
      <c r="C107" s="3" t="s">
        <v>356</v>
      </c>
      <c r="D107" s="14" t="s">
        <v>245</v>
      </c>
      <c r="E107" s="8">
        <v>2</v>
      </c>
      <c r="F107" s="12" t="str">
        <f t="shared" si="7"/>
        <v>170 × 190 × 85</v>
      </c>
      <c r="G107" s="3" t="s">
        <v>357</v>
      </c>
      <c r="H107" s="3" t="s">
        <v>358</v>
      </c>
      <c r="I107" s="3" t="s">
        <v>359</v>
      </c>
      <c r="J107" s="3" t="s">
        <v>360</v>
      </c>
      <c r="K107" s="3" t="s">
        <v>22</v>
      </c>
      <c r="L107" s="10">
        <v>100</v>
      </c>
      <c r="M107" s="10">
        <v>120</v>
      </c>
      <c r="N107" s="10">
        <v>50</v>
      </c>
      <c r="O107" s="11">
        <v>0.02</v>
      </c>
      <c r="P107" s="10">
        <v>30</v>
      </c>
      <c r="Q107" s="10">
        <v>30</v>
      </c>
      <c r="R107" s="10">
        <v>25</v>
      </c>
      <c r="S107" s="10">
        <v>3</v>
      </c>
      <c r="T107" s="10">
        <v>5</v>
      </c>
      <c r="U107" s="9">
        <f t="shared" si="8"/>
        <v>162</v>
      </c>
      <c r="V107" s="9">
        <f t="shared" si="9"/>
        <v>182.4</v>
      </c>
      <c r="W107" s="9">
        <f t="shared" si="10"/>
        <v>76</v>
      </c>
      <c r="X107" s="9">
        <f t="shared" si="11"/>
        <v>170</v>
      </c>
      <c r="Y107" s="9">
        <f t="shared" si="12"/>
        <v>190</v>
      </c>
      <c r="Z107" s="9">
        <f t="shared" si="13"/>
        <v>85</v>
      </c>
      <c r="AA107" s="3" t="s">
        <v>372</v>
      </c>
      <c r="AB107" s="3" t="s">
        <v>362</v>
      </c>
    </row>
    <row r="108" spans="1:28" ht="76" customHeight="1">
      <c r="A108" s="6" t="s">
        <v>65</v>
      </c>
      <c r="B108" s="3" t="s">
        <v>205</v>
      </c>
      <c r="C108" s="3" t="s">
        <v>363</v>
      </c>
      <c r="D108" s="13" t="s">
        <v>364</v>
      </c>
      <c r="E108" s="8">
        <v>1</v>
      </c>
      <c r="F108" s="12" t="str">
        <f t="shared" si="7"/>
        <v>Ø30 × 90</v>
      </c>
      <c r="G108" s="3" t="s">
        <v>357</v>
      </c>
      <c r="H108" s="3" t="s">
        <v>358</v>
      </c>
      <c r="I108" s="3" t="s">
        <v>365</v>
      </c>
      <c r="J108" s="3" t="s">
        <v>360</v>
      </c>
      <c r="K108" s="3" t="s">
        <v>29</v>
      </c>
      <c r="L108" s="10">
        <v>20</v>
      </c>
      <c r="M108" s="15">
        <v>20</v>
      </c>
      <c r="N108" s="10">
        <v>60</v>
      </c>
      <c r="O108" s="11">
        <v>0</v>
      </c>
      <c r="P108" s="10">
        <v>0</v>
      </c>
      <c r="Q108" s="10">
        <v>0</v>
      </c>
      <c r="R108" s="10">
        <v>20</v>
      </c>
      <c r="S108" s="10">
        <v>3</v>
      </c>
      <c r="T108" s="10">
        <v>5</v>
      </c>
      <c r="U108" s="9">
        <f t="shared" si="8"/>
        <v>20</v>
      </c>
      <c r="V108" s="9" t="str">
        <f t="shared" si="9"/>
        <v/>
      </c>
      <c r="W108" s="9">
        <f t="shared" si="10"/>
        <v>80</v>
      </c>
      <c r="X108" s="9">
        <f t="shared" si="11"/>
        <v>30</v>
      </c>
      <c r="Y108" s="9" t="str">
        <f t="shared" si="12"/>
        <v/>
      </c>
      <c r="Z108" s="9">
        <f t="shared" si="13"/>
        <v>90</v>
      </c>
      <c r="AA108" s="3" t="s">
        <v>373</v>
      </c>
      <c r="AB108" s="3" t="s">
        <v>367</v>
      </c>
    </row>
    <row r="109" spans="1:28" ht="76" customHeight="1">
      <c r="A109" s="6" t="s">
        <v>65</v>
      </c>
      <c r="B109" s="3" t="s">
        <v>208</v>
      </c>
      <c r="C109" s="3" t="s">
        <v>356</v>
      </c>
      <c r="D109" s="14" t="s">
        <v>245</v>
      </c>
      <c r="E109" s="8">
        <v>2</v>
      </c>
      <c r="F109" s="12" t="str">
        <f t="shared" si="7"/>
        <v>170 × 190 × 85</v>
      </c>
      <c r="G109" s="3" t="s">
        <v>357</v>
      </c>
      <c r="H109" s="3" t="s">
        <v>358</v>
      </c>
      <c r="I109" s="3" t="s">
        <v>359</v>
      </c>
      <c r="J109" s="3" t="s">
        <v>360</v>
      </c>
      <c r="K109" s="3" t="s">
        <v>22</v>
      </c>
      <c r="L109" s="10">
        <v>100</v>
      </c>
      <c r="M109" s="10">
        <v>120</v>
      </c>
      <c r="N109" s="10">
        <v>50</v>
      </c>
      <c r="O109" s="11">
        <v>0.02</v>
      </c>
      <c r="P109" s="10">
        <v>30</v>
      </c>
      <c r="Q109" s="10">
        <v>30</v>
      </c>
      <c r="R109" s="10">
        <v>25</v>
      </c>
      <c r="S109" s="10">
        <v>3</v>
      </c>
      <c r="T109" s="10">
        <v>5</v>
      </c>
      <c r="U109" s="9">
        <f t="shared" si="8"/>
        <v>162</v>
      </c>
      <c r="V109" s="9">
        <f t="shared" si="9"/>
        <v>182.4</v>
      </c>
      <c r="W109" s="9">
        <f t="shared" si="10"/>
        <v>76</v>
      </c>
      <c r="X109" s="9">
        <f t="shared" si="11"/>
        <v>170</v>
      </c>
      <c r="Y109" s="9">
        <f t="shared" si="12"/>
        <v>190</v>
      </c>
      <c r="Z109" s="9">
        <f t="shared" si="13"/>
        <v>85</v>
      </c>
      <c r="AA109" s="3" t="s">
        <v>374</v>
      </c>
      <c r="AB109" s="3" t="s">
        <v>362</v>
      </c>
    </row>
    <row r="110" spans="1:28" ht="76" customHeight="1">
      <c r="A110" s="6" t="s">
        <v>65</v>
      </c>
      <c r="B110" s="3" t="s">
        <v>208</v>
      </c>
      <c r="C110" s="3" t="s">
        <v>363</v>
      </c>
      <c r="D110" s="13" t="s">
        <v>364</v>
      </c>
      <c r="E110" s="8">
        <v>1</v>
      </c>
      <c r="F110" s="12" t="str">
        <f t="shared" si="7"/>
        <v>Ø30 × 90</v>
      </c>
      <c r="G110" s="3" t="s">
        <v>357</v>
      </c>
      <c r="H110" s="3" t="s">
        <v>358</v>
      </c>
      <c r="I110" s="3" t="s">
        <v>365</v>
      </c>
      <c r="J110" s="3" t="s">
        <v>360</v>
      </c>
      <c r="K110" s="3" t="s">
        <v>29</v>
      </c>
      <c r="L110" s="10">
        <v>20</v>
      </c>
      <c r="M110" s="15">
        <v>20</v>
      </c>
      <c r="N110" s="10">
        <v>60</v>
      </c>
      <c r="O110" s="11">
        <v>0</v>
      </c>
      <c r="P110" s="10">
        <v>0</v>
      </c>
      <c r="Q110" s="10">
        <v>0</v>
      </c>
      <c r="R110" s="10">
        <v>20</v>
      </c>
      <c r="S110" s="10">
        <v>3</v>
      </c>
      <c r="T110" s="10">
        <v>5</v>
      </c>
      <c r="U110" s="9">
        <f t="shared" si="8"/>
        <v>20</v>
      </c>
      <c r="V110" s="9" t="str">
        <f t="shared" si="9"/>
        <v/>
      </c>
      <c r="W110" s="9">
        <f t="shared" si="10"/>
        <v>80</v>
      </c>
      <c r="X110" s="9">
        <f t="shared" si="11"/>
        <v>30</v>
      </c>
      <c r="Y110" s="9" t="str">
        <f t="shared" si="12"/>
        <v/>
      </c>
      <c r="Z110" s="9">
        <f t="shared" si="13"/>
        <v>90</v>
      </c>
      <c r="AA110" s="3" t="s">
        <v>375</v>
      </c>
      <c r="AB110" s="3" t="s">
        <v>367</v>
      </c>
    </row>
    <row r="111" spans="1:28" ht="76" customHeight="1">
      <c r="A111" s="6" t="s">
        <v>65</v>
      </c>
      <c r="B111" s="3" t="s">
        <v>211</v>
      </c>
      <c r="C111" s="3" t="s">
        <v>356</v>
      </c>
      <c r="D111" s="14" t="s">
        <v>245</v>
      </c>
      <c r="E111" s="8">
        <v>2</v>
      </c>
      <c r="F111" s="12" t="str">
        <f t="shared" si="7"/>
        <v>170 × 190 × 85</v>
      </c>
      <c r="G111" s="3" t="s">
        <v>357</v>
      </c>
      <c r="H111" s="3" t="s">
        <v>358</v>
      </c>
      <c r="I111" s="3" t="s">
        <v>359</v>
      </c>
      <c r="J111" s="3" t="s">
        <v>360</v>
      </c>
      <c r="K111" s="3" t="s">
        <v>22</v>
      </c>
      <c r="L111" s="10">
        <v>100</v>
      </c>
      <c r="M111" s="10">
        <v>120</v>
      </c>
      <c r="N111" s="10">
        <v>50</v>
      </c>
      <c r="O111" s="11">
        <v>0.02</v>
      </c>
      <c r="P111" s="10">
        <v>30</v>
      </c>
      <c r="Q111" s="10">
        <v>30</v>
      </c>
      <c r="R111" s="10">
        <v>25</v>
      </c>
      <c r="S111" s="10">
        <v>3</v>
      </c>
      <c r="T111" s="10">
        <v>5</v>
      </c>
      <c r="U111" s="9">
        <f t="shared" si="8"/>
        <v>162</v>
      </c>
      <c r="V111" s="9">
        <f t="shared" si="9"/>
        <v>182.4</v>
      </c>
      <c r="W111" s="9">
        <f t="shared" si="10"/>
        <v>76</v>
      </c>
      <c r="X111" s="9">
        <f t="shared" si="11"/>
        <v>170</v>
      </c>
      <c r="Y111" s="9">
        <f t="shared" si="12"/>
        <v>190</v>
      </c>
      <c r="Z111" s="9">
        <f t="shared" si="13"/>
        <v>85</v>
      </c>
      <c r="AA111" s="3" t="s">
        <v>376</v>
      </c>
      <c r="AB111" s="3" t="s">
        <v>362</v>
      </c>
    </row>
    <row r="112" spans="1:28" ht="76" customHeight="1">
      <c r="A112" s="6" t="s">
        <v>65</v>
      </c>
      <c r="B112" s="3" t="s">
        <v>211</v>
      </c>
      <c r="C112" s="3" t="s">
        <v>363</v>
      </c>
      <c r="D112" s="13" t="s">
        <v>364</v>
      </c>
      <c r="E112" s="8">
        <v>1</v>
      </c>
      <c r="F112" s="12" t="str">
        <f t="shared" si="7"/>
        <v>Ø30 × 90</v>
      </c>
      <c r="G112" s="3" t="s">
        <v>357</v>
      </c>
      <c r="H112" s="3" t="s">
        <v>358</v>
      </c>
      <c r="I112" s="3" t="s">
        <v>365</v>
      </c>
      <c r="J112" s="3" t="s">
        <v>360</v>
      </c>
      <c r="K112" s="3" t="s">
        <v>29</v>
      </c>
      <c r="L112" s="10">
        <v>20</v>
      </c>
      <c r="M112" s="15">
        <v>20</v>
      </c>
      <c r="N112" s="10">
        <v>60</v>
      </c>
      <c r="O112" s="11">
        <v>0</v>
      </c>
      <c r="P112" s="10">
        <v>0</v>
      </c>
      <c r="Q112" s="10">
        <v>0</v>
      </c>
      <c r="R112" s="10">
        <v>20</v>
      </c>
      <c r="S112" s="10">
        <v>3</v>
      </c>
      <c r="T112" s="10">
        <v>5</v>
      </c>
      <c r="U112" s="9">
        <f t="shared" si="8"/>
        <v>20</v>
      </c>
      <c r="V112" s="9" t="str">
        <f t="shared" si="9"/>
        <v/>
      </c>
      <c r="W112" s="9">
        <f t="shared" si="10"/>
        <v>80</v>
      </c>
      <c r="X112" s="9">
        <f t="shared" si="11"/>
        <v>30</v>
      </c>
      <c r="Y112" s="9" t="str">
        <f t="shared" si="12"/>
        <v/>
      </c>
      <c r="Z112" s="9">
        <f t="shared" si="13"/>
        <v>90</v>
      </c>
      <c r="AA112" s="3" t="s">
        <v>377</v>
      </c>
      <c r="AB112" s="3" t="s">
        <v>367</v>
      </c>
    </row>
    <row r="113" spans="1:28" ht="76" customHeight="1">
      <c r="A113" s="6" t="s">
        <v>71</v>
      </c>
      <c r="B113" s="3" t="s">
        <v>187</v>
      </c>
      <c r="C113" s="3" t="s">
        <v>244</v>
      </c>
      <c r="D113" s="14" t="s">
        <v>245</v>
      </c>
      <c r="E113" s="8">
        <v>1</v>
      </c>
      <c r="F113" s="12" t="str">
        <f t="shared" si="7"/>
        <v>180 × 180 × 95</v>
      </c>
      <c r="G113" s="3" t="s">
        <v>378</v>
      </c>
      <c r="H113" s="3" t="s">
        <v>379</v>
      </c>
      <c r="I113" s="3" t="str">
        <f>'Quantity grades'!G53</f>
        <v>P20; aluminum for suitable trials</v>
      </c>
      <c r="J113" s="3" t="s">
        <v>380</v>
      </c>
      <c r="K113" s="3" t="s">
        <v>22</v>
      </c>
      <c r="L113" s="10">
        <v>100</v>
      </c>
      <c r="M113" s="10">
        <v>100</v>
      </c>
      <c r="N113" s="10">
        <v>50</v>
      </c>
      <c r="O113" s="11">
        <v>3.0000000000000001E-3</v>
      </c>
      <c r="P113" s="10">
        <v>35</v>
      </c>
      <c r="Q113" s="10">
        <v>35</v>
      </c>
      <c r="R113" s="10">
        <v>35</v>
      </c>
      <c r="S113" s="10">
        <v>3</v>
      </c>
      <c r="T113" s="10">
        <v>5</v>
      </c>
      <c r="U113" s="9">
        <f t="shared" si="8"/>
        <v>170.29999999999998</v>
      </c>
      <c r="V113" s="9">
        <f t="shared" si="9"/>
        <v>170.29999999999998</v>
      </c>
      <c r="W113" s="9">
        <f t="shared" si="10"/>
        <v>85.149999999999991</v>
      </c>
      <c r="X113" s="9">
        <f t="shared" si="11"/>
        <v>180</v>
      </c>
      <c r="Y113" s="9">
        <f t="shared" si="12"/>
        <v>180</v>
      </c>
      <c r="Z113" s="9">
        <f t="shared" si="13"/>
        <v>95</v>
      </c>
      <c r="AA113" s="3" t="s">
        <v>381</v>
      </c>
      <c r="AB113" s="3" t="s">
        <v>382</v>
      </c>
    </row>
    <row r="114" spans="1:28" ht="76" customHeight="1">
      <c r="A114" s="6" t="s">
        <v>71</v>
      </c>
      <c r="B114" s="3" t="s">
        <v>187</v>
      </c>
      <c r="C114" s="3" t="s">
        <v>251</v>
      </c>
      <c r="D114" s="13" t="s">
        <v>189</v>
      </c>
      <c r="E114" s="8">
        <v>1</v>
      </c>
      <c r="F114" s="12" t="str">
        <f t="shared" si="7"/>
        <v>165 × 165 × 85</v>
      </c>
      <c r="G114" s="3" t="s">
        <v>378</v>
      </c>
      <c r="H114" s="3" t="s">
        <v>379</v>
      </c>
      <c r="I114" s="3" t="str">
        <f>'Quantity grades'!G53</f>
        <v>P20; aluminum for suitable trials</v>
      </c>
      <c r="J114" s="3" t="s">
        <v>380</v>
      </c>
      <c r="K114" s="3" t="s">
        <v>22</v>
      </c>
      <c r="L114" s="10">
        <v>94</v>
      </c>
      <c r="M114" s="10">
        <v>94</v>
      </c>
      <c r="N114" s="10">
        <v>47</v>
      </c>
      <c r="O114" s="11">
        <v>3.0000000000000001E-3</v>
      </c>
      <c r="P114" s="10">
        <v>30</v>
      </c>
      <c r="Q114" s="10">
        <v>30</v>
      </c>
      <c r="R114" s="10">
        <v>30</v>
      </c>
      <c r="S114" s="10">
        <v>3</v>
      </c>
      <c r="T114" s="10">
        <v>5</v>
      </c>
      <c r="U114" s="9">
        <f t="shared" si="8"/>
        <v>154.28199999999998</v>
      </c>
      <c r="V114" s="9">
        <f t="shared" si="9"/>
        <v>154.28199999999998</v>
      </c>
      <c r="W114" s="9">
        <f t="shared" si="10"/>
        <v>77.140999999999991</v>
      </c>
      <c r="X114" s="9">
        <f t="shared" si="11"/>
        <v>165</v>
      </c>
      <c r="Y114" s="9">
        <f t="shared" si="12"/>
        <v>165</v>
      </c>
      <c r="Z114" s="9">
        <f t="shared" si="13"/>
        <v>85</v>
      </c>
      <c r="AA114" s="3" t="s">
        <v>383</v>
      </c>
      <c r="AB114" s="3" t="s">
        <v>384</v>
      </c>
    </row>
    <row r="115" spans="1:28" ht="76" customHeight="1">
      <c r="A115" s="6" t="s">
        <v>71</v>
      </c>
      <c r="B115" s="3" t="s">
        <v>199</v>
      </c>
      <c r="C115" s="3" t="s">
        <v>244</v>
      </c>
      <c r="D115" s="14" t="s">
        <v>245</v>
      </c>
      <c r="E115" s="8">
        <v>1</v>
      </c>
      <c r="F115" s="12" t="str">
        <f t="shared" si="7"/>
        <v>180 × 180 × 95</v>
      </c>
      <c r="G115" s="3" t="s">
        <v>378</v>
      </c>
      <c r="H115" s="3" t="s">
        <v>379</v>
      </c>
      <c r="I115" s="3" t="str">
        <f>'Quantity grades'!G54</f>
        <v>P20</v>
      </c>
      <c r="J115" s="3" t="s">
        <v>380</v>
      </c>
      <c r="K115" s="3" t="s">
        <v>22</v>
      </c>
      <c r="L115" s="10">
        <v>100</v>
      </c>
      <c r="M115" s="10">
        <v>100</v>
      </c>
      <c r="N115" s="10">
        <v>50</v>
      </c>
      <c r="O115" s="11">
        <v>3.0000000000000001E-3</v>
      </c>
      <c r="P115" s="10">
        <v>35</v>
      </c>
      <c r="Q115" s="10">
        <v>35</v>
      </c>
      <c r="R115" s="10">
        <v>35</v>
      </c>
      <c r="S115" s="10">
        <v>3</v>
      </c>
      <c r="T115" s="10">
        <v>5</v>
      </c>
      <c r="U115" s="9">
        <f t="shared" si="8"/>
        <v>170.29999999999998</v>
      </c>
      <c r="V115" s="9">
        <f t="shared" si="9"/>
        <v>170.29999999999998</v>
      </c>
      <c r="W115" s="9">
        <f t="shared" si="10"/>
        <v>85.149999999999991</v>
      </c>
      <c r="X115" s="9">
        <f t="shared" si="11"/>
        <v>180</v>
      </c>
      <c r="Y115" s="9">
        <f t="shared" si="12"/>
        <v>180</v>
      </c>
      <c r="Z115" s="9">
        <f t="shared" si="13"/>
        <v>95</v>
      </c>
      <c r="AA115" s="3" t="s">
        <v>385</v>
      </c>
      <c r="AB115" s="3" t="s">
        <v>382</v>
      </c>
    </row>
    <row r="116" spans="1:28" ht="76" customHeight="1">
      <c r="A116" s="6" t="s">
        <v>71</v>
      </c>
      <c r="B116" s="3" t="s">
        <v>199</v>
      </c>
      <c r="C116" s="3" t="s">
        <v>251</v>
      </c>
      <c r="D116" s="13" t="s">
        <v>189</v>
      </c>
      <c r="E116" s="8">
        <v>1</v>
      </c>
      <c r="F116" s="12" t="str">
        <f t="shared" si="7"/>
        <v>165 × 165 × 85</v>
      </c>
      <c r="G116" s="3" t="s">
        <v>378</v>
      </c>
      <c r="H116" s="3" t="s">
        <v>379</v>
      </c>
      <c r="I116" s="3" t="str">
        <f>'Quantity grades'!G54</f>
        <v>P20</v>
      </c>
      <c r="J116" s="3" t="s">
        <v>380</v>
      </c>
      <c r="K116" s="3" t="s">
        <v>22</v>
      </c>
      <c r="L116" s="10">
        <v>94</v>
      </c>
      <c r="M116" s="10">
        <v>94</v>
      </c>
      <c r="N116" s="10">
        <v>47</v>
      </c>
      <c r="O116" s="11">
        <v>3.0000000000000001E-3</v>
      </c>
      <c r="P116" s="10">
        <v>30</v>
      </c>
      <c r="Q116" s="10">
        <v>30</v>
      </c>
      <c r="R116" s="10">
        <v>30</v>
      </c>
      <c r="S116" s="10">
        <v>3</v>
      </c>
      <c r="T116" s="10">
        <v>5</v>
      </c>
      <c r="U116" s="9">
        <f t="shared" si="8"/>
        <v>154.28199999999998</v>
      </c>
      <c r="V116" s="9">
        <f t="shared" si="9"/>
        <v>154.28199999999998</v>
      </c>
      <c r="W116" s="9">
        <f t="shared" si="10"/>
        <v>77.140999999999991</v>
      </c>
      <c r="X116" s="9">
        <f t="shared" si="11"/>
        <v>165</v>
      </c>
      <c r="Y116" s="9">
        <f t="shared" si="12"/>
        <v>165</v>
      </c>
      <c r="Z116" s="9">
        <f t="shared" si="13"/>
        <v>85</v>
      </c>
      <c r="AA116" s="3" t="s">
        <v>386</v>
      </c>
      <c r="AB116" s="3" t="s">
        <v>384</v>
      </c>
    </row>
    <row r="117" spans="1:28" ht="76" customHeight="1">
      <c r="A117" s="6" t="s">
        <v>71</v>
      </c>
      <c r="B117" s="3" t="s">
        <v>202</v>
      </c>
      <c r="C117" s="3" t="s">
        <v>244</v>
      </c>
      <c r="D117" s="14" t="s">
        <v>245</v>
      </c>
      <c r="E117" s="8">
        <v>1</v>
      </c>
      <c r="F117" s="12" t="str">
        <f t="shared" si="7"/>
        <v>180 × 180 × 95</v>
      </c>
      <c r="G117" s="3" t="s">
        <v>378</v>
      </c>
      <c r="H117" s="3" t="s">
        <v>379</v>
      </c>
      <c r="I117" s="3" t="str">
        <f>'Quantity grades'!G55</f>
        <v>P20 / H13 for abrasive compounds</v>
      </c>
      <c r="J117" s="3" t="s">
        <v>380</v>
      </c>
      <c r="K117" s="3" t="s">
        <v>22</v>
      </c>
      <c r="L117" s="10">
        <v>100</v>
      </c>
      <c r="M117" s="10">
        <v>100</v>
      </c>
      <c r="N117" s="10">
        <v>50</v>
      </c>
      <c r="O117" s="11">
        <v>3.0000000000000001E-3</v>
      </c>
      <c r="P117" s="10">
        <v>35</v>
      </c>
      <c r="Q117" s="10">
        <v>35</v>
      </c>
      <c r="R117" s="10">
        <v>35</v>
      </c>
      <c r="S117" s="10">
        <v>3</v>
      </c>
      <c r="T117" s="10">
        <v>5</v>
      </c>
      <c r="U117" s="9">
        <f t="shared" si="8"/>
        <v>170.29999999999998</v>
      </c>
      <c r="V117" s="9">
        <f t="shared" si="9"/>
        <v>170.29999999999998</v>
      </c>
      <c r="W117" s="9">
        <f t="shared" si="10"/>
        <v>85.149999999999991</v>
      </c>
      <c r="X117" s="9">
        <f t="shared" si="11"/>
        <v>180</v>
      </c>
      <c r="Y117" s="9">
        <f t="shared" si="12"/>
        <v>180</v>
      </c>
      <c r="Z117" s="9">
        <f t="shared" si="13"/>
        <v>95</v>
      </c>
      <c r="AA117" s="3" t="s">
        <v>387</v>
      </c>
      <c r="AB117" s="3" t="s">
        <v>382</v>
      </c>
    </row>
    <row r="118" spans="1:28" ht="76" customHeight="1">
      <c r="A118" s="6" t="s">
        <v>71</v>
      </c>
      <c r="B118" s="3" t="s">
        <v>202</v>
      </c>
      <c r="C118" s="3" t="s">
        <v>251</v>
      </c>
      <c r="D118" s="13" t="s">
        <v>189</v>
      </c>
      <c r="E118" s="8">
        <v>1</v>
      </c>
      <c r="F118" s="12" t="str">
        <f t="shared" si="7"/>
        <v>165 × 165 × 85</v>
      </c>
      <c r="G118" s="3" t="s">
        <v>378</v>
      </c>
      <c r="H118" s="3" t="s">
        <v>379</v>
      </c>
      <c r="I118" s="3" t="str">
        <f>'Quantity grades'!G55</f>
        <v>P20 / H13 for abrasive compounds</v>
      </c>
      <c r="J118" s="3" t="s">
        <v>380</v>
      </c>
      <c r="K118" s="3" t="s">
        <v>22</v>
      </c>
      <c r="L118" s="10">
        <v>94</v>
      </c>
      <c r="M118" s="10">
        <v>94</v>
      </c>
      <c r="N118" s="10">
        <v>47</v>
      </c>
      <c r="O118" s="11">
        <v>3.0000000000000001E-3</v>
      </c>
      <c r="P118" s="10">
        <v>30</v>
      </c>
      <c r="Q118" s="10">
        <v>30</v>
      </c>
      <c r="R118" s="10">
        <v>30</v>
      </c>
      <c r="S118" s="10">
        <v>3</v>
      </c>
      <c r="T118" s="10">
        <v>5</v>
      </c>
      <c r="U118" s="9">
        <f t="shared" si="8"/>
        <v>154.28199999999998</v>
      </c>
      <c r="V118" s="9">
        <f t="shared" si="9"/>
        <v>154.28199999999998</v>
      </c>
      <c r="W118" s="9">
        <f t="shared" si="10"/>
        <v>77.140999999999991</v>
      </c>
      <c r="X118" s="9">
        <f t="shared" si="11"/>
        <v>165</v>
      </c>
      <c r="Y118" s="9">
        <f t="shared" si="12"/>
        <v>165</v>
      </c>
      <c r="Z118" s="9">
        <f t="shared" si="13"/>
        <v>85</v>
      </c>
      <c r="AA118" s="3" t="s">
        <v>388</v>
      </c>
      <c r="AB118" s="3" t="s">
        <v>384</v>
      </c>
    </row>
    <row r="119" spans="1:28" ht="76" customHeight="1">
      <c r="A119" s="6" t="s">
        <v>71</v>
      </c>
      <c r="B119" s="3" t="s">
        <v>205</v>
      </c>
      <c r="C119" s="3" t="s">
        <v>244</v>
      </c>
      <c r="D119" s="14" t="s">
        <v>245</v>
      </c>
      <c r="E119" s="8">
        <v>1</v>
      </c>
      <c r="F119" s="12" t="str">
        <f t="shared" si="7"/>
        <v>180 × 180 × 95</v>
      </c>
      <c r="G119" s="3" t="s">
        <v>378</v>
      </c>
      <c r="H119" s="3" t="s">
        <v>379</v>
      </c>
      <c r="I119" s="3" t="str">
        <f>'Quantity grades'!G56</f>
        <v>P20 / H13 / 1.2083</v>
      </c>
      <c r="J119" s="3" t="s">
        <v>380</v>
      </c>
      <c r="K119" s="3" t="s">
        <v>22</v>
      </c>
      <c r="L119" s="10">
        <v>100</v>
      </c>
      <c r="M119" s="10">
        <v>100</v>
      </c>
      <c r="N119" s="10">
        <v>50</v>
      </c>
      <c r="O119" s="11">
        <v>3.0000000000000001E-3</v>
      </c>
      <c r="P119" s="10">
        <v>35</v>
      </c>
      <c r="Q119" s="10">
        <v>35</v>
      </c>
      <c r="R119" s="10">
        <v>35</v>
      </c>
      <c r="S119" s="10">
        <v>3</v>
      </c>
      <c r="T119" s="10">
        <v>5</v>
      </c>
      <c r="U119" s="9">
        <f t="shared" si="8"/>
        <v>170.29999999999998</v>
      </c>
      <c r="V119" s="9">
        <f t="shared" si="9"/>
        <v>170.29999999999998</v>
      </c>
      <c r="W119" s="9">
        <f t="shared" si="10"/>
        <v>85.149999999999991</v>
      </c>
      <c r="X119" s="9">
        <f t="shared" si="11"/>
        <v>180</v>
      </c>
      <c r="Y119" s="9">
        <f t="shared" si="12"/>
        <v>180</v>
      </c>
      <c r="Z119" s="9">
        <f t="shared" si="13"/>
        <v>95</v>
      </c>
      <c r="AA119" s="3" t="s">
        <v>389</v>
      </c>
      <c r="AB119" s="3" t="s">
        <v>382</v>
      </c>
    </row>
    <row r="120" spans="1:28" ht="76" customHeight="1">
      <c r="A120" s="6" t="s">
        <v>71</v>
      </c>
      <c r="B120" s="3" t="s">
        <v>205</v>
      </c>
      <c r="C120" s="3" t="s">
        <v>251</v>
      </c>
      <c r="D120" s="13" t="s">
        <v>189</v>
      </c>
      <c r="E120" s="8">
        <v>1</v>
      </c>
      <c r="F120" s="12" t="str">
        <f t="shared" si="7"/>
        <v>165 × 165 × 85</v>
      </c>
      <c r="G120" s="3" t="s">
        <v>378</v>
      </c>
      <c r="H120" s="3" t="s">
        <v>379</v>
      </c>
      <c r="I120" s="3" t="str">
        <f>'Quantity grades'!G56</f>
        <v>P20 / H13 / 1.2083</v>
      </c>
      <c r="J120" s="3" t="s">
        <v>380</v>
      </c>
      <c r="K120" s="3" t="s">
        <v>22</v>
      </c>
      <c r="L120" s="10">
        <v>94</v>
      </c>
      <c r="M120" s="10">
        <v>94</v>
      </c>
      <c r="N120" s="10">
        <v>47</v>
      </c>
      <c r="O120" s="11">
        <v>3.0000000000000001E-3</v>
      </c>
      <c r="P120" s="10">
        <v>30</v>
      </c>
      <c r="Q120" s="10">
        <v>30</v>
      </c>
      <c r="R120" s="10">
        <v>30</v>
      </c>
      <c r="S120" s="10">
        <v>3</v>
      </c>
      <c r="T120" s="10">
        <v>5</v>
      </c>
      <c r="U120" s="9">
        <f t="shared" si="8"/>
        <v>154.28199999999998</v>
      </c>
      <c r="V120" s="9">
        <f t="shared" si="9"/>
        <v>154.28199999999998</v>
      </c>
      <c r="W120" s="9">
        <f t="shared" si="10"/>
        <v>77.140999999999991</v>
      </c>
      <c r="X120" s="9">
        <f t="shared" si="11"/>
        <v>165</v>
      </c>
      <c r="Y120" s="9">
        <f t="shared" si="12"/>
        <v>165</v>
      </c>
      <c r="Z120" s="9">
        <f t="shared" si="13"/>
        <v>85</v>
      </c>
      <c r="AA120" s="3" t="s">
        <v>390</v>
      </c>
      <c r="AB120" s="3" t="s">
        <v>384</v>
      </c>
    </row>
    <row r="121" spans="1:28" ht="76" customHeight="1">
      <c r="A121" s="6" t="s">
        <v>71</v>
      </c>
      <c r="B121" s="3" t="s">
        <v>208</v>
      </c>
      <c r="C121" s="3" t="s">
        <v>244</v>
      </c>
      <c r="D121" s="14" t="s">
        <v>245</v>
      </c>
      <c r="E121" s="8">
        <v>1</v>
      </c>
      <c r="F121" s="12" t="str">
        <f t="shared" si="7"/>
        <v>180 × 180 × 95</v>
      </c>
      <c r="G121" s="3" t="s">
        <v>378</v>
      </c>
      <c r="H121" s="3" t="s">
        <v>379</v>
      </c>
      <c r="I121" s="3" t="str">
        <f>'Quantity grades'!G57</f>
        <v>H13 / 1.2083</v>
      </c>
      <c r="J121" s="3" t="s">
        <v>380</v>
      </c>
      <c r="K121" s="3" t="s">
        <v>22</v>
      </c>
      <c r="L121" s="10">
        <v>100</v>
      </c>
      <c r="M121" s="10">
        <v>100</v>
      </c>
      <c r="N121" s="10">
        <v>50</v>
      </c>
      <c r="O121" s="11">
        <v>3.0000000000000001E-3</v>
      </c>
      <c r="P121" s="10">
        <v>35</v>
      </c>
      <c r="Q121" s="10">
        <v>35</v>
      </c>
      <c r="R121" s="10">
        <v>35</v>
      </c>
      <c r="S121" s="10">
        <v>3</v>
      </c>
      <c r="T121" s="10">
        <v>5</v>
      </c>
      <c r="U121" s="9">
        <f t="shared" si="8"/>
        <v>170.29999999999998</v>
      </c>
      <c r="V121" s="9">
        <f t="shared" si="9"/>
        <v>170.29999999999998</v>
      </c>
      <c r="W121" s="9">
        <f t="shared" si="10"/>
        <v>85.149999999999991</v>
      </c>
      <c r="X121" s="9">
        <f t="shared" si="11"/>
        <v>180</v>
      </c>
      <c r="Y121" s="9">
        <f t="shared" si="12"/>
        <v>180</v>
      </c>
      <c r="Z121" s="9">
        <f t="shared" si="13"/>
        <v>95</v>
      </c>
      <c r="AA121" s="3" t="s">
        <v>391</v>
      </c>
      <c r="AB121" s="3" t="s">
        <v>382</v>
      </c>
    </row>
    <row r="122" spans="1:28" ht="76" customHeight="1">
      <c r="A122" s="6" t="s">
        <v>71</v>
      </c>
      <c r="B122" s="3" t="s">
        <v>208</v>
      </c>
      <c r="C122" s="3" t="s">
        <v>251</v>
      </c>
      <c r="D122" s="13" t="s">
        <v>189</v>
      </c>
      <c r="E122" s="8">
        <v>1</v>
      </c>
      <c r="F122" s="12" t="str">
        <f t="shared" si="7"/>
        <v>165 × 165 × 85</v>
      </c>
      <c r="G122" s="3" t="s">
        <v>378</v>
      </c>
      <c r="H122" s="3" t="s">
        <v>379</v>
      </c>
      <c r="I122" s="3" t="str">
        <f>'Quantity grades'!G57</f>
        <v>H13 / 1.2083</v>
      </c>
      <c r="J122" s="3" t="s">
        <v>380</v>
      </c>
      <c r="K122" s="3" t="s">
        <v>22</v>
      </c>
      <c r="L122" s="10">
        <v>94</v>
      </c>
      <c r="M122" s="10">
        <v>94</v>
      </c>
      <c r="N122" s="10">
        <v>47</v>
      </c>
      <c r="O122" s="11">
        <v>3.0000000000000001E-3</v>
      </c>
      <c r="P122" s="10">
        <v>30</v>
      </c>
      <c r="Q122" s="10">
        <v>30</v>
      </c>
      <c r="R122" s="10">
        <v>30</v>
      </c>
      <c r="S122" s="10">
        <v>3</v>
      </c>
      <c r="T122" s="10">
        <v>5</v>
      </c>
      <c r="U122" s="9">
        <f t="shared" si="8"/>
        <v>154.28199999999998</v>
      </c>
      <c r="V122" s="9">
        <f t="shared" si="9"/>
        <v>154.28199999999998</v>
      </c>
      <c r="W122" s="9">
        <f t="shared" si="10"/>
        <v>77.140999999999991</v>
      </c>
      <c r="X122" s="9">
        <f t="shared" si="11"/>
        <v>165</v>
      </c>
      <c r="Y122" s="9">
        <f t="shared" si="12"/>
        <v>165</v>
      </c>
      <c r="Z122" s="9">
        <f t="shared" si="13"/>
        <v>85</v>
      </c>
      <c r="AA122" s="3" t="s">
        <v>392</v>
      </c>
      <c r="AB122" s="3" t="s">
        <v>384</v>
      </c>
    </row>
    <row r="123" spans="1:28" ht="76" customHeight="1">
      <c r="A123" s="6" t="s">
        <v>71</v>
      </c>
      <c r="B123" s="3" t="s">
        <v>211</v>
      </c>
      <c r="C123" s="3" t="s">
        <v>244</v>
      </c>
      <c r="D123" s="14" t="s">
        <v>245</v>
      </c>
      <c r="E123" s="8">
        <v>1</v>
      </c>
      <c r="F123" s="12" t="str">
        <f t="shared" si="7"/>
        <v>180 × 180 × 95</v>
      </c>
      <c r="G123" s="3" t="s">
        <v>378</v>
      </c>
      <c r="H123" s="3" t="s">
        <v>379</v>
      </c>
      <c r="I123" s="3" t="str">
        <f>'Quantity grades'!G58</f>
        <v>H13 / 1.2083 / specialist wear steel</v>
      </c>
      <c r="J123" s="3" t="s">
        <v>380</v>
      </c>
      <c r="K123" s="3" t="s">
        <v>22</v>
      </c>
      <c r="L123" s="10">
        <v>100</v>
      </c>
      <c r="M123" s="10">
        <v>100</v>
      </c>
      <c r="N123" s="10">
        <v>50</v>
      </c>
      <c r="O123" s="11">
        <v>3.0000000000000001E-3</v>
      </c>
      <c r="P123" s="10">
        <v>35</v>
      </c>
      <c r="Q123" s="10">
        <v>35</v>
      </c>
      <c r="R123" s="10">
        <v>35</v>
      </c>
      <c r="S123" s="10">
        <v>3</v>
      </c>
      <c r="T123" s="10">
        <v>5</v>
      </c>
      <c r="U123" s="9">
        <f t="shared" si="8"/>
        <v>170.29999999999998</v>
      </c>
      <c r="V123" s="9">
        <f t="shared" si="9"/>
        <v>170.29999999999998</v>
      </c>
      <c r="W123" s="9">
        <f t="shared" si="10"/>
        <v>85.149999999999991</v>
      </c>
      <c r="X123" s="9">
        <f t="shared" si="11"/>
        <v>180</v>
      </c>
      <c r="Y123" s="9">
        <f t="shared" si="12"/>
        <v>180</v>
      </c>
      <c r="Z123" s="9">
        <f t="shared" si="13"/>
        <v>95</v>
      </c>
      <c r="AA123" s="3" t="s">
        <v>393</v>
      </c>
      <c r="AB123" s="3" t="s">
        <v>382</v>
      </c>
    </row>
    <row r="124" spans="1:28" ht="76" customHeight="1">
      <c r="A124" s="6" t="s">
        <v>71</v>
      </c>
      <c r="B124" s="3" t="s">
        <v>211</v>
      </c>
      <c r="C124" s="3" t="s">
        <v>251</v>
      </c>
      <c r="D124" s="13" t="s">
        <v>189</v>
      </c>
      <c r="E124" s="8">
        <v>1</v>
      </c>
      <c r="F124" s="12" t="str">
        <f t="shared" si="7"/>
        <v>165 × 165 × 85</v>
      </c>
      <c r="G124" s="3" t="s">
        <v>378</v>
      </c>
      <c r="H124" s="3" t="s">
        <v>379</v>
      </c>
      <c r="I124" s="3" t="str">
        <f>'Quantity grades'!G58</f>
        <v>H13 / 1.2083 / specialist wear steel</v>
      </c>
      <c r="J124" s="3" t="s">
        <v>380</v>
      </c>
      <c r="K124" s="3" t="s">
        <v>22</v>
      </c>
      <c r="L124" s="10">
        <v>94</v>
      </c>
      <c r="M124" s="10">
        <v>94</v>
      </c>
      <c r="N124" s="10">
        <v>47</v>
      </c>
      <c r="O124" s="11">
        <v>3.0000000000000001E-3</v>
      </c>
      <c r="P124" s="10">
        <v>30</v>
      </c>
      <c r="Q124" s="10">
        <v>30</v>
      </c>
      <c r="R124" s="10">
        <v>30</v>
      </c>
      <c r="S124" s="10">
        <v>3</v>
      </c>
      <c r="T124" s="10">
        <v>5</v>
      </c>
      <c r="U124" s="9">
        <f t="shared" si="8"/>
        <v>154.28199999999998</v>
      </c>
      <c r="V124" s="9">
        <f t="shared" si="9"/>
        <v>154.28199999999998</v>
      </c>
      <c r="W124" s="9">
        <f t="shared" si="10"/>
        <v>77.140999999999991</v>
      </c>
      <c r="X124" s="9">
        <f t="shared" si="11"/>
        <v>165</v>
      </c>
      <c r="Y124" s="9">
        <f t="shared" si="12"/>
        <v>165</v>
      </c>
      <c r="Z124" s="9">
        <f t="shared" si="13"/>
        <v>85</v>
      </c>
      <c r="AA124" s="3" t="s">
        <v>394</v>
      </c>
      <c r="AB124" s="3" t="s">
        <v>384</v>
      </c>
    </row>
    <row r="125" spans="1:28" ht="76" customHeight="1">
      <c r="A125" s="6" t="s">
        <v>74</v>
      </c>
      <c r="B125" s="3" t="s">
        <v>187</v>
      </c>
      <c r="C125" s="3" t="s">
        <v>395</v>
      </c>
      <c r="D125" s="14" t="s">
        <v>245</v>
      </c>
      <c r="E125" s="8">
        <v>2</v>
      </c>
      <c r="F125" s="12" t="str">
        <f t="shared" si="7"/>
        <v>130 × 110 × 45</v>
      </c>
      <c r="G125" s="3" t="s">
        <v>396</v>
      </c>
      <c r="H125" s="3" t="s">
        <v>397</v>
      </c>
      <c r="I125" s="3" t="str">
        <f>'Quantity grades'!G59</f>
        <v>P20 with hardened wear components</v>
      </c>
      <c r="J125" s="3" t="s">
        <v>398</v>
      </c>
      <c r="K125" s="3" t="s">
        <v>22</v>
      </c>
      <c r="L125" s="10">
        <v>60</v>
      </c>
      <c r="M125" s="10">
        <v>40</v>
      </c>
      <c r="N125" s="10">
        <v>7.5</v>
      </c>
      <c r="O125" s="11">
        <v>5.0000000000000001E-3</v>
      </c>
      <c r="P125" s="10">
        <v>30</v>
      </c>
      <c r="Q125" s="10">
        <v>30</v>
      </c>
      <c r="R125" s="10">
        <v>30</v>
      </c>
      <c r="S125" s="10">
        <v>3</v>
      </c>
      <c r="T125" s="10">
        <v>5</v>
      </c>
      <c r="U125" s="9">
        <f t="shared" si="8"/>
        <v>120.3</v>
      </c>
      <c r="V125" s="9">
        <f t="shared" si="9"/>
        <v>100.19999999999999</v>
      </c>
      <c r="W125" s="9">
        <f t="shared" si="10"/>
        <v>37.537500000000001</v>
      </c>
      <c r="X125" s="9">
        <f t="shared" si="11"/>
        <v>130</v>
      </c>
      <c r="Y125" s="9">
        <f t="shared" si="12"/>
        <v>110</v>
      </c>
      <c r="Z125" s="9">
        <f t="shared" si="13"/>
        <v>45</v>
      </c>
      <c r="AA125" s="3" t="s">
        <v>399</v>
      </c>
      <c r="AB125" s="3" t="s">
        <v>400</v>
      </c>
    </row>
    <row r="126" spans="1:28" ht="76" customHeight="1">
      <c r="A126" s="6" t="s">
        <v>74</v>
      </c>
      <c r="B126" s="3" t="s">
        <v>187</v>
      </c>
      <c r="C126" s="3" t="s">
        <v>401</v>
      </c>
      <c r="D126" s="13" t="s">
        <v>364</v>
      </c>
      <c r="E126" s="8">
        <v>2</v>
      </c>
      <c r="F126" s="12" t="str">
        <f t="shared" si="7"/>
        <v>Ø9 × 43</v>
      </c>
      <c r="G126" s="3" t="s">
        <v>396</v>
      </c>
      <c r="H126" s="3" t="s">
        <v>397</v>
      </c>
      <c r="I126" s="3" t="s">
        <v>402</v>
      </c>
      <c r="J126" s="3" t="s">
        <v>398</v>
      </c>
      <c r="K126" s="3" t="s">
        <v>29</v>
      </c>
      <c r="L126" s="10">
        <v>6</v>
      </c>
      <c r="M126" s="15">
        <v>6</v>
      </c>
      <c r="N126" s="10">
        <v>40</v>
      </c>
      <c r="O126" s="11">
        <v>5.0000000000000001E-3</v>
      </c>
      <c r="P126" s="10">
        <v>0</v>
      </c>
      <c r="Q126" s="10">
        <v>0</v>
      </c>
      <c r="R126" s="10">
        <v>0</v>
      </c>
      <c r="S126" s="10">
        <v>1</v>
      </c>
      <c r="T126" s="10">
        <v>1</v>
      </c>
      <c r="U126" s="9">
        <f t="shared" si="8"/>
        <v>6.0299999999999994</v>
      </c>
      <c r="V126" s="9" t="str">
        <f t="shared" si="9"/>
        <v/>
      </c>
      <c r="W126" s="9">
        <f t="shared" si="10"/>
        <v>40.199999999999996</v>
      </c>
      <c r="X126" s="9">
        <f t="shared" si="11"/>
        <v>9</v>
      </c>
      <c r="Y126" s="9" t="str">
        <f t="shared" si="12"/>
        <v/>
      </c>
      <c r="Z126" s="9">
        <f t="shared" si="13"/>
        <v>43</v>
      </c>
      <c r="AA126" s="3" t="s">
        <v>403</v>
      </c>
      <c r="AB126" s="3" t="s">
        <v>404</v>
      </c>
    </row>
    <row r="127" spans="1:28" ht="76" customHeight="1">
      <c r="A127" s="6" t="s">
        <v>74</v>
      </c>
      <c r="B127" s="3" t="s">
        <v>187</v>
      </c>
      <c r="C127" s="3" t="s">
        <v>405</v>
      </c>
      <c r="D127" s="14" t="s">
        <v>406</v>
      </c>
      <c r="E127" s="8">
        <v>1</v>
      </c>
      <c r="F127" s="12" t="str">
        <f t="shared" si="7"/>
        <v>Ø90 × 60</v>
      </c>
      <c r="G127" s="3" t="s">
        <v>396</v>
      </c>
      <c r="H127" s="3" t="s">
        <v>397</v>
      </c>
      <c r="I127" s="3" t="s">
        <v>407</v>
      </c>
      <c r="J127" s="3" t="s">
        <v>398</v>
      </c>
      <c r="K127" s="3" t="s">
        <v>29</v>
      </c>
      <c r="L127" s="10">
        <v>40</v>
      </c>
      <c r="M127" s="15">
        <v>40</v>
      </c>
      <c r="N127" s="10">
        <v>30</v>
      </c>
      <c r="O127" s="11">
        <v>0</v>
      </c>
      <c r="P127" s="10">
        <v>20</v>
      </c>
      <c r="Q127" s="10">
        <v>20</v>
      </c>
      <c r="R127" s="10">
        <v>20</v>
      </c>
      <c r="S127" s="10">
        <v>3</v>
      </c>
      <c r="T127" s="10">
        <v>5</v>
      </c>
      <c r="U127" s="9">
        <f t="shared" si="8"/>
        <v>80</v>
      </c>
      <c r="V127" s="9" t="str">
        <f t="shared" si="9"/>
        <v/>
      </c>
      <c r="W127" s="9">
        <f t="shared" si="10"/>
        <v>50</v>
      </c>
      <c r="X127" s="9">
        <f t="shared" si="11"/>
        <v>90</v>
      </c>
      <c r="Y127" s="9" t="str">
        <f t="shared" si="12"/>
        <v/>
      </c>
      <c r="Z127" s="9">
        <f t="shared" si="13"/>
        <v>60</v>
      </c>
      <c r="AA127" s="3" t="s">
        <v>408</v>
      </c>
      <c r="AB127" s="3" t="s">
        <v>409</v>
      </c>
    </row>
    <row r="128" spans="1:28" ht="76" customHeight="1">
      <c r="A128" s="6" t="s">
        <v>74</v>
      </c>
      <c r="B128" s="3" t="s">
        <v>187</v>
      </c>
      <c r="C128" s="3" t="s">
        <v>410</v>
      </c>
      <c r="D128" s="13" t="s">
        <v>411</v>
      </c>
      <c r="E128" s="8">
        <v>1</v>
      </c>
      <c r="F128" s="12" t="str">
        <f t="shared" si="7"/>
        <v>Ø50 × 90</v>
      </c>
      <c r="G128" s="3" t="s">
        <v>396</v>
      </c>
      <c r="H128" s="3" t="s">
        <v>397</v>
      </c>
      <c r="I128" s="3" t="s">
        <v>407</v>
      </c>
      <c r="J128" s="3" t="s">
        <v>398</v>
      </c>
      <c r="K128" s="3" t="s">
        <v>29</v>
      </c>
      <c r="L128" s="10">
        <v>40</v>
      </c>
      <c r="M128" s="15">
        <v>40</v>
      </c>
      <c r="N128" s="10">
        <v>60</v>
      </c>
      <c r="O128" s="11">
        <v>0</v>
      </c>
      <c r="P128" s="10">
        <v>0</v>
      </c>
      <c r="Q128" s="10">
        <v>0</v>
      </c>
      <c r="R128" s="10">
        <v>20</v>
      </c>
      <c r="S128" s="10">
        <v>3</v>
      </c>
      <c r="T128" s="10">
        <v>5</v>
      </c>
      <c r="U128" s="9">
        <f t="shared" si="8"/>
        <v>40</v>
      </c>
      <c r="V128" s="9" t="str">
        <f t="shared" si="9"/>
        <v/>
      </c>
      <c r="W128" s="9">
        <f t="shared" si="10"/>
        <v>80</v>
      </c>
      <c r="X128" s="9">
        <f t="shared" si="11"/>
        <v>50</v>
      </c>
      <c r="Y128" s="9" t="str">
        <f t="shared" si="12"/>
        <v/>
      </c>
      <c r="Z128" s="9">
        <f t="shared" si="13"/>
        <v>90</v>
      </c>
      <c r="AA128" s="3" t="s">
        <v>412</v>
      </c>
      <c r="AB128" s="3" t="s">
        <v>413</v>
      </c>
    </row>
    <row r="129" spans="1:28" ht="76" customHeight="1">
      <c r="A129" s="6" t="s">
        <v>74</v>
      </c>
      <c r="B129" s="3" t="s">
        <v>199</v>
      </c>
      <c r="C129" s="3" t="s">
        <v>395</v>
      </c>
      <c r="D129" s="14" t="s">
        <v>245</v>
      </c>
      <c r="E129" s="8">
        <v>2</v>
      </c>
      <c r="F129" s="12" t="str">
        <f t="shared" si="7"/>
        <v>130 × 110 × 45</v>
      </c>
      <c r="G129" s="3" t="s">
        <v>396</v>
      </c>
      <c r="H129" s="3" t="s">
        <v>397</v>
      </c>
      <c r="I129" s="3" t="str">
        <f>'Quantity grades'!G60</f>
        <v>P20 with hardened wear components</v>
      </c>
      <c r="J129" s="3" t="s">
        <v>398</v>
      </c>
      <c r="K129" s="3" t="s">
        <v>22</v>
      </c>
      <c r="L129" s="10">
        <v>60</v>
      </c>
      <c r="M129" s="10">
        <v>40</v>
      </c>
      <c r="N129" s="10">
        <v>7.5</v>
      </c>
      <c r="O129" s="11">
        <v>5.0000000000000001E-3</v>
      </c>
      <c r="P129" s="10">
        <v>30</v>
      </c>
      <c r="Q129" s="10">
        <v>30</v>
      </c>
      <c r="R129" s="10">
        <v>30</v>
      </c>
      <c r="S129" s="10">
        <v>3</v>
      </c>
      <c r="T129" s="10">
        <v>5</v>
      </c>
      <c r="U129" s="9">
        <f t="shared" si="8"/>
        <v>120.3</v>
      </c>
      <c r="V129" s="9">
        <f t="shared" si="9"/>
        <v>100.19999999999999</v>
      </c>
      <c r="W129" s="9">
        <f t="shared" si="10"/>
        <v>37.537500000000001</v>
      </c>
      <c r="X129" s="9">
        <f t="shared" si="11"/>
        <v>130</v>
      </c>
      <c r="Y129" s="9">
        <f t="shared" si="12"/>
        <v>110</v>
      </c>
      <c r="Z129" s="9">
        <f t="shared" si="13"/>
        <v>45</v>
      </c>
      <c r="AA129" s="3" t="s">
        <v>414</v>
      </c>
      <c r="AB129" s="3" t="s">
        <v>400</v>
      </c>
    </row>
    <row r="130" spans="1:28" ht="76" customHeight="1">
      <c r="A130" s="6" t="s">
        <v>74</v>
      </c>
      <c r="B130" s="3" t="s">
        <v>199</v>
      </c>
      <c r="C130" s="3" t="s">
        <v>401</v>
      </c>
      <c r="D130" s="13" t="s">
        <v>364</v>
      </c>
      <c r="E130" s="8">
        <v>2</v>
      </c>
      <c r="F130" s="12" t="str">
        <f t="shared" si="7"/>
        <v>Ø9 × 43</v>
      </c>
      <c r="G130" s="3" t="s">
        <v>396</v>
      </c>
      <c r="H130" s="3" t="s">
        <v>397</v>
      </c>
      <c r="I130" s="3" t="s">
        <v>402</v>
      </c>
      <c r="J130" s="3" t="s">
        <v>398</v>
      </c>
      <c r="K130" s="3" t="s">
        <v>29</v>
      </c>
      <c r="L130" s="10">
        <v>6</v>
      </c>
      <c r="M130" s="15">
        <v>6</v>
      </c>
      <c r="N130" s="10">
        <v>40</v>
      </c>
      <c r="O130" s="11">
        <v>5.0000000000000001E-3</v>
      </c>
      <c r="P130" s="10">
        <v>0</v>
      </c>
      <c r="Q130" s="10">
        <v>0</v>
      </c>
      <c r="R130" s="10">
        <v>0</v>
      </c>
      <c r="S130" s="10">
        <v>1</v>
      </c>
      <c r="T130" s="10">
        <v>1</v>
      </c>
      <c r="U130" s="9">
        <f t="shared" si="8"/>
        <v>6.0299999999999994</v>
      </c>
      <c r="V130" s="9" t="str">
        <f t="shared" si="9"/>
        <v/>
      </c>
      <c r="W130" s="9">
        <f t="shared" si="10"/>
        <v>40.199999999999996</v>
      </c>
      <c r="X130" s="9">
        <f t="shared" si="11"/>
        <v>9</v>
      </c>
      <c r="Y130" s="9" t="str">
        <f t="shared" si="12"/>
        <v/>
      </c>
      <c r="Z130" s="9">
        <f t="shared" si="13"/>
        <v>43</v>
      </c>
      <c r="AA130" s="3" t="s">
        <v>415</v>
      </c>
      <c r="AB130" s="3" t="s">
        <v>404</v>
      </c>
    </row>
    <row r="131" spans="1:28" ht="76" customHeight="1">
      <c r="A131" s="6" t="s">
        <v>74</v>
      </c>
      <c r="B131" s="3" t="s">
        <v>199</v>
      </c>
      <c r="C131" s="3" t="s">
        <v>405</v>
      </c>
      <c r="D131" s="14" t="s">
        <v>406</v>
      </c>
      <c r="E131" s="8">
        <v>1</v>
      </c>
      <c r="F131" s="12" t="str">
        <f t="shared" si="7"/>
        <v>Ø90 × 60</v>
      </c>
      <c r="G131" s="3" t="s">
        <v>396</v>
      </c>
      <c r="H131" s="3" t="s">
        <v>397</v>
      </c>
      <c r="I131" s="3" t="s">
        <v>407</v>
      </c>
      <c r="J131" s="3" t="s">
        <v>398</v>
      </c>
      <c r="K131" s="3" t="s">
        <v>29</v>
      </c>
      <c r="L131" s="10">
        <v>40</v>
      </c>
      <c r="M131" s="15">
        <v>40</v>
      </c>
      <c r="N131" s="10">
        <v>30</v>
      </c>
      <c r="O131" s="11">
        <v>0</v>
      </c>
      <c r="P131" s="10">
        <v>20</v>
      </c>
      <c r="Q131" s="10">
        <v>20</v>
      </c>
      <c r="R131" s="10">
        <v>20</v>
      </c>
      <c r="S131" s="10">
        <v>3</v>
      </c>
      <c r="T131" s="10">
        <v>5</v>
      </c>
      <c r="U131" s="9">
        <f t="shared" si="8"/>
        <v>80</v>
      </c>
      <c r="V131" s="9" t="str">
        <f t="shared" si="9"/>
        <v/>
      </c>
      <c r="W131" s="9">
        <f t="shared" si="10"/>
        <v>50</v>
      </c>
      <c r="X131" s="9">
        <f t="shared" si="11"/>
        <v>90</v>
      </c>
      <c r="Y131" s="9" t="str">
        <f t="shared" si="12"/>
        <v/>
      </c>
      <c r="Z131" s="9">
        <f t="shared" si="13"/>
        <v>60</v>
      </c>
      <c r="AA131" s="3" t="s">
        <v>416</v>
      </c>
      <c r="AB131" s="3" t="s">
        <v>409</v>
      </c>
    </row>
    <row r="132" spans="1:28" ht="76" customHeight="1">
      <c r="A132" s="6" t="s">
        <v>74</v>
      </c>
      <c r="B132" s="3" t="s">
        <v>199</v>
      </c>
      <c r="C132" s="3" t="s">
        <v>410</v>
      </c>
      <c r="D132" s="13" t="s">
        <v>411</v>
      </c>
      <c r="E132" s="8">
        <v>1</v>
      </c>
      <c r="F132" s="12" t="str">
        <f t="shared" si="7"/>
        <v>Ø50 × 90</v>
      </c>
      <c r="G132" s="3" t="s">
        <v>396</v>
      </c>
      <c r="H132" s="3" t="s">
        <v>397</v>
      </c>
      <c r="I132" s="3" t="s">
        <v>407</v>
      </c>
      <c r="J132" s="3" t="s">
        <v>398</v>
      </c>
      <c r="K132" s="3" t="s">
        <v>29</v>
      </c>
      <c r="L132" s="10">
        <v>40</v>
      </c>
      <c r="M132" s="15">
        <v>40</v>
      </c>
      <c r="N132" s="10">
        <v>60</v>
      </c>
      <c r="O132" s="11">
        <v>0</v>
      </c>
      <c r="P132" s="10">
        <v>0</v>
      </c>
      <c r="Q132" s="10">
        <v>0</v>
      </c>
      <c r="R132" s="10">
        <v>20</v>
      </c>
      <c r="S132" s="10">
        <v>3</v>
      </c>
      <c r="T132" s="10">
        <v>5</v>
      </c>
      <c r="U132" s="9">
        <f t="shared" si="8"/>
        <v>40</v>
      </c>
      <c r="V132" s="9" t="str">
        <f t="shared" si="9"/>
        <v/>
      </c>
      <c r="W132" s="9">
        <f t="shared" si="10"/>
        <v>80</v>
      </c>
      <c r="X132" s="9">
        <f t="shared" si="11"/>
        <v>50</v>
      </c>
      <c r="Y132" s="9" t="str">
        <f t="shared" si="12"/>
        <v/>
      </c>
      <c r="Z132" s="9">
        <f t="shared" si="13"/>
        <v>90</v>
      </c>
      <c r="AA132" s="3" t="s">
        <v>417</v>
      </c>
      <c r="AB132" s="3" t="s">
        <v>413</v>
      </c>
    </row>
    <row r="133" spans="1:28" ht="76" customHeight="1">
      <c r="A133" s="6" t="s">
        <v>74</v>
      </c>
      <c r="B133" s="3" t="s">
        <v>202</v>
      </c>
      <c r="C133" s="3" t="s">
        <v>395</v>
      </c>
      <c r="D133" s="14" t="s">
        <v>245</v>
      </c>
      <c r="E133" s="8">
        <v>2</v>
      </c>
      <c r="F133" s="12" t="str">
        <f t="shared" ref="F133:F196" si="14">IF(K133="Round billet","Ø"&amp;X133&amp;" × "&amp;Z133,X133&amp;" × "&amp;Y133&amp;" × "&amp;Z133)</f>
        <v>130 × 110 × 45</v>
      </c>
      <c r="G133" s="3" t="s">
        <v>396</v>
      </c>
      <c r="H133" s="3" t="s">
        <v>397</v>
      </c>
      <c r="I133" s="3" t="str">
        <f>'Quantity grades'!G61</f>
        <v>P20 / H13 cavities</v>
      </c>
      <c r="J133" s="3" t="s">
        <v>398</v>
      </c>
      <c r="K133" s="3" t="s">
        <v>22</v>
      </c>
      <c r="L133" s="10">
        <v>60</v>
      </c>
      <c r="M133" s="10">
        <v>40</v>
      </c>
      <c r="N133" s="10">
        <v>7.5</v>
      </c>
      <c r="O133" s="11">
        <v>5.0000000000000001E-3</v>
      </c>
      <c r="P133" s="10">
        <v>30</v>
      </c>
      <c r="Q133" s="10">
        <v>30</v>
      </c>
      <c r="R133" s="10">
        <v>30</v>
      </c>
      <c r="S133" s="10">
        <v>3</v>
      </c>
      <c r="T133" s="10">
        <v>5</v>
      </c>
      <c r="U133" s="9">
        <f t="shared" ref="U133:U196" si="15">L133*(1+O133)+2*P133</f>
        <v>120.3</v>
      </c>
      <c r="V133" s="9">
        <f t="shared" ref="V133:V196" si="16">IF(K133="Round billet","",M133*(1+O133)+2*Q133)</f>
        <v>100.19999999999999</v>
      </c>
      <c r="W133" s="9">
        <f t="shared" ref="W133:W196" si="17">N133*(1+O133)+R133</f>
        <v>37.537500000000001</v>
      </c>
      <c r="X133" s="9">
        <f t="shared" ref="X133:X196" si="18">ROUNDUP((U133+2*S133)/T133,0)*T133</f>
        <v>130</v>
      </c>
      <c r="Y133" s="9">
        <f t="shared" ref="Y133:Y196" si="19">IF(K133="Round billet","",ROUNDUP((V133+2*S133)/T133,0)*T133)</f>
        <v>110</v>
      </c>
      <c r="Z133" s="9">
        <f t="shared" ref="Z133:Z196" si="20">ROUNDUP((W133+2*S133)/T133,0)*T133</f>
        <v>45</v>
      </c>
      <c r="AA133" s="3" t="s">
        <v>418</v>
      </c>
      <c r="AB133" s="3" t="s">
        <v>400</v>
      </c>
    </row>
    <row r="134" spans="1:28" ht="76" customHeight="1">
      <c r="A134" s="6" t="s">
        <v>74</v>
      </c>
      <c r="B134" s="3" t="s">
        <v>202</v>
      </c>
      <c r="C134" s="3" t="s">
        <v>401</v>
      </c>
      <c r="D134" s="13" t="s">
        <v>364</v>
      </c>
      <c r="E134" s="8">
        <v>2</v>
      </c>
      <c r="F134" s="12" t="str">
        <f t="shared" si="14"/>
        <v>Ø9 × 43</v>
      </c>
      <c r="G134" s="3" t="s">
        <v>396</v>
      </c>
      <c r="H134" s="3" t="s">
        <v>397</v>
      </c>
      <c r="I134" s="3" t="s">
        <v>402</v>
      </c>
      <c r="J134" s="3" t="s">
        <v>398</v>
      </c>
      <c r="K134" s="3" t="s">
        <v>29</v>
      </c>
      <c r="L134" s="10">
        <v>6</v>
      </c>
      <c r="M134" s="15">
        <v>6</v>
      </c>
      <c r="N134" s="10">
        <v>40</v>
      </c>
      <c r="O134" s="11">
        <v>5.0000000000000001E-3</v>
      </c>
      <c r="P134" s="10">
        <v>0</v>
      </c>
      <c r="Q134" s="10">
        <v>0</v>
      </c>
      <c r="R134" s="10">
        <v>0</v>
      </c>
      <c r="S134" s="10">
        <v>1</v>
      </c>
      <c r="T134" s="10">
        <v>1</v>
      </c>
      <c r="U134" s="9">
        <f t="shared" si="15"/>
        <v>6.0299999999999994</v>
      </c>
      <c r="V134" s="9" t="str">
        <f t="shared" si="16"/>
        <v/>
      </c>
      <c r="W134" s="9">
        <f t="shared" si="17"/>
        <v>40.199999999999996</v>
      </c>
      <c r="X134" s="9">
        <f t="shared" si="18"/>
        <v>9</v>
      </c>
      <c r="Y134" s="9" t="str">
        <f t="shared" si="19"/>
        <v/>
      </c>
      <c r="Z134" s="9">
        <f t="shared" si="20"/>
        <v>43</v>
      </c>
      <c r="AA134" s="3" t="s">
        <v>419</v>
      </c>
      <c r="AB134" s="3" t="s">
        <v>404</v>
      </c>
    </row>
    <row r="135" spans="1:28" ht="76" customHeight="1">
      <c r="A135" s="6" t="s">
        <v>74</v>
      </c>
      <c r="B135" s="3" t="s">
        <v>202</v>
      </c>
      <c r="C135" s="3" t="s">
        <v>405</v>
      </c>
      <c r="D135" s="14" t="s">
        <v>406</v>
      </c>
      <c r="E135" s="8">
        <v>1</v>
      </c>
      <c r="F135" s="12" t="str">
        <f t="shared" si="14"/>
        <v>Ø90 × 60</v>
      </c>
      <c r="G135" s="3" t="s">
        <v>396</v>
      </c>
      <c r="H135" s="3" t="s">
        <v>397</v>
      </c>
      <c r="I135" s="3" t="s">
        <v>407</v>
      </c>
      <c r="J135" s="3" t="s">
        <v>398</v>
      </c>
      <c r="K135" s="3" t="s">
        <v>29</v>
      </c>
      <c r="L135" s="10">
        <v>40</v>
      </c>
      <c r="M135" s="15">
        <v>40</v>
      </c>
      <c r="N135" s="10">
        <v>30</v>
      </c>
      <c r="O135" s="11">
        <v>0</v>
      </c>
      <c r="P135" s="10">
        <v>20</v>
      </c>
      <c r="Q135" s="10">
        <v>20</v>
      </c>
      <c r="R135" s="10">
        <v>20</v>
      </c>
      <c r="S135" s="10">
        <v>3</v>
      </c>
      <c r="T135" s="10">
        <v>5</v>
      </c>
      <c r="U135" s="9">
        <f t="shared" si="15"/>
        <v>80</v>
      </c>
      <c r="V135" s="9" t="str">
        <f t="shared" si="16"/>
        <v/>
      </c>
      <c r="W135" s="9">
        <f t="shared" si="17"/>
        <v>50</v>
      </c>
      <c r="X135" s="9">
        <f t="shared" si="18"/>
        <v>90</v>
      </c>
      <c r="Y135" s="9" t="str">
        <f t="shared" si="19"/>
        <v/>
      </c>
      <c r="Z135" s="9">
        <f t="shared" si="20"/>
        <v>60</v>
      </c>
      <c r="AA135" s="3" t="s">
        <v>420</v>
      </c>
      <c r="AB135" s="3" t="s">
        <v>409</v>
      </c>
    </row>
    <row r="136" spans="1:28" ht="76" customHeight="1">
      <c r="A136" s="6" t="s">
        <v>74</v>
      </c>
      <c r="B136" s="3" t="s">
        <v>202</v>
      </c>
      <c r="C136" s="3" t="s">
        <v>410</v>
      </c>
      <c r="D136" s="13" t="s">
        <v>411</v>
      </c>
      <c r="E136" s="8">
        <v>1</v>
      </c>
      <c r="F136" s="12" t="str">
        <f t="shared" si="14"/>
        <v>Ø50 × 90</v>
      </c>
      <c r="G136" s="3" t="s">
        <v>396</v>
      </c>
      <c r="H136" s="3" t="s">
        <v>397</v>
      </c>
      <c r="I136" s="3" t="s">
        <v>407</v>
      </c>
      <c r="J136" s="3" t="s">
        <v>398</v>
      </c>
      <c r="K136" s="3" t="s">
        <v>29</v>
      </c>
      <c r="L136" s="10">
        <v>40</v>
      </c>
      <c r="M136" s="15">
        <v>40</v>
      </c>
      <c r="N136" s="10">
        <v>60</v>
      </c>
      <c r="O136" s="11">
        <v>0</v>
      </c>
      <c r="P136" s="10">
        <v>0</v>
      </c>
      <c r="Q136" s="10">
        <v>0</v>
      </c>
      <c r="R136" s="10">
        <v>20</v>
      </c>
      <c r="S136" s="10">
        <v>3</v>
      </c>
      <c r="T136" s="10">
        <v>5</v>
      </c>
      <c r="U136" s="9">
        <f t="shared" si="15"/>
        <v>40</v>
      </c>
      <c r="V136" s="9" t="str">
        <f t="shared" si="16"/>
        <v/>
      </c>
      <c r="W136" s="9">
        <f t="shared" si="17"/>
        <v>80</v>
      </c>
      <c r="X136" s="9">
        <f t="shared" si="18"/>
        <v>50</v>
      </c>
      <c r="Y136" s="9" t="str">
        <f t="shared" si="19"/>
        <v/>
      </c>
      <c r="Z136" s="9">
        <f t="shared" si="20"/>
        <v>90</v>
      </c>
      <c r="AA136" s="3" t="s">
        <v>421</v>
      </c>
      <c r="AB136" s="3" t="s">
        <v>413</v>
      </c>
    </row>
    <row r="137" spans="1:28" ht="76" customHeight="1">
      <c r="A137" s="6" t="s">
        <v>74</v>
      </c>
      <c r="B137" s="3" t="s">
        <v>205</v>
      </c>
      <c r="C137" s="3" t="s">
        <v>395</v>
      </c>
      <c r="D137" s="14" t="s">
        <v>245</v>
      </c>
      <c r="E137" s="8">
        <v>2</v>
      </c>
      <c r="F137" s="12" t="str">
        <f t="shared" si="14"/>
        <v>130 × 110 × 45</v>
      </c>
      <c r="G137" s="3" t="s">
        <v>396</v>
      </c>
      <c r="H137" s="3" t="s">
        <v>397</v>
      </c>
      <c r="I137" s="3" t="str">
        <f>'Quantity grades'!G62</f>
        <v>H13 / 1.2083</v>
      </c>
      <c r="J137" s="3" t="s">
        <v>398</v>
      </c>
      <c r="K137" s="3" t="s">
        <v>22</v>
      </c>
      <c r="L137" s="10">
        <v>60</v>
      </c>
      <c r="M137" s="10">
        <v>40</v>
      </c>
      <c r="N137" s="10">
        <v>7.5</v>
      </c>
      <c r="O137" s="11">
        <v>5.0000000000000001E-3</v>
      </c>
      <c r="P137" s="10">
        <v>30</v>
      </c>
      <c r="Q137" s="10">
        <v>30</v>
      </c>
      <c r="R137" s="10">
        <v>30</v>
      </c>
      <c r="S137" s="10">
        <v>3</v>
      </c>
      <c r="T137" s="10">
        <v>5</v>
      </c>
      <c r="U137" s="9">
        <f t="shared" si="15"/>
        <v>120.3</v>
      </c>
      <c r="V137" s="9">
        <f t="shared" si="16"/>
        <v>100.19999999999999</v>
      </c>
      <c r="W137" s="9">
        <f t="shared" si="17"/>
        <v>37.537500000000001</v>
      </c>
      <c r="X137" s="9">
        <f t="shared" si="18"/>
        <v>130</v>
      </c>
      <c r="Y137" s="9">
        <f t="shared" si="19"/>
        <v>110</v>
      </c>
      <c r="Z137" s="9">
        <f t="shared" si="20"/>
        <v>45</v>
      </c>
      <c r="AA137" s="3" t="s">
        <v>422</v>
      </c>
      <c r="AB137" s="3" t="s">
        <v>400</v>
      </c>
    </row>
    <row r="138" spans="1:28" ht="76" customHeight="1">
      <c r="A138" s="6" t="s">
        <v>74</v>
      </c>
      <c r="B138" s="3" t="s">
        <v>205</v>
      </c>
      <c r="C138" s="3" t="s">
        <v>401</v>
      </c>
      <c r="D138" s="13" t="s">
        <v>364</v>
      </c>
      <c r="E138" s="8">
        <v>2</v>
      </c>
      <c r="F138" s="12" t="str">
        <f t="shared" si="14"/>
        <v>Ø9 × 43</v>
      </c>
      <c r="G138" s="3" t="s">
        <v>396</v>
      </c>
      <c r="H138" s="3" t="s">
        <v>397</v>
      </c>
      <c r="I138" s="3" t="s">
        <v>402</v>
      </c>
      <c r="J138" s="3" t="s">
        <v>398</v>
      </c>
      <c r="K138" s="3" t="s">
        <v>29</v>
      </c>
      <c r="L138" s="10">
        <v>6</v>
      </c>
      <c r="M138" s="15">
        <v>6</v>
      </c>
      <c r="N138" s="10">
        <v>40</v>
      </c>
      <c r="O138" s="11">
        <v>5.0000000000000001E-3</v>
      </c>
      <c r="P138" s="10">
        <v>0</v>
      </c>
      <c r="Q138" s="10">
        <v>0</v>
      </c>
      <c r="R138" s="10">
        <v>0</v>
      </c>
      <c r="S138" s="10">
        <v>1</v>
      </c>
      <c r="T138" s="10">
        <v>1</v>
      </c>
      <c r="U138" s="9">
        <f t="shared" si="15"/>
        <v>6.0299999999999994</v>
      </c>
      <c r="V138" s="9" t="str">
        <f t="shared" si="16"/>
        <v/>
      </c>
      <c r="W138" s="9">
        <f t="shared" si="17"/>
        <v>40.199999999999996</v>
      </c>
      <c r="X138" s="9">
        <f t="shared" si="18"/>
        <v>9</v>
      </c>
      <c r="Y138" s="9" t="str">
        <f t="shared" si="19"/>
        <v/>
      </c>
      <c r="Z138" s="9">
        <f t="shared" si="20"/>
        <v>43</v>
      </c>
      <c r="AA138" s="3" t="s">
        <v>423</v>
      </c>
      <c r="AB138" s="3" t="s">
        <v>404</v>
      </c>
    </row>
    <row r="139" spans="1:28" ht="76" customHeight="1">
      <c r="A139" s="6" t="s">
        <v>74</v>
      </c>
      <c r="B139" s="3" t="s">
        <v>205</v>
      </c>
      <c r="C139" s="3" t="s">
        <v>405</v>
      </c>
      <c r="D139" s="14" t="s">
        <v>406</v>
      </c>
      <c r="E139" s="8">
        <v>1</v>
      </c>
      <c r="F139" s="12" t="str">
        <f t="shared" si="14"/>
        <v>Ø90 × 60</v>
      </c>
      <c r="G139" s="3" t="s">
        <v>396</v>
      </c>
      <c r="H139" s="3" t="s">
        <v>397</v>
      </c>
      <c r="I139" s="3" t="s">
        <v>407</v>
      </c>
      <c r="J139" s="3" t="s">
        <v>398</v>
      </c>
      <c r="K139" s="3" t="s">
        <v>29</v>
      </c>
      <c r="L139" s="10">
        <v>40</v>
      </c>
      <c r="M139" s="15">
        <v>40</v>
      </c>
      <c r="N139" s="10">
        <v>30</v>
      </c>
      <c r="O139" s="11">
        <v>0</v>
      </c>
      <c r="P139" s="10">
        <v>20</v>
      </c>
      <c r="Q139" s="10">
        <v>20</v>
      </c>
      <c r="R139" s="10">
        <v>20</v>
      </c>
      <c r="S139" s="10">
        <v>3</v>
      </c>
      <c r="T139" s="10">
        <v>5</v>
      </c>
      <c r="U139" s="9">
        <f t="shared" si="15"/>
        <v>80</v>
      </c>
      <c r="V139" s="9" t="str">
        <f t="shared" si="16"/>
        <v/>
      </c>
      <c r="W139" s="9">
        <f t="shared" si="17"/>
        <v>50</v>
      </c>
      <c r="X139" s="9">
        <f t="shared" si="18"/>
        <v>90</v>
      </c>
      <c r="Y139" s="9" t="str">
        <f t="shared" si="19"/>
        <v/>
      </c>
      <c r="Z139" s="9">
        <f t="shared" si="20"/>
        <v>60</v>
      </c>
      <c r="AA139" s="3" t="s">
        <v>424</v>
      </c>
      <c r="AB139" s="3" t="s">
        <v>409</v>
      </c>
    </row>
    <row r="140" spans="1:28" ht="76" customHeight="1">
      <c r="A140" s="6" t="s">
        <v>74</v>
      </c>
      <c r="B140" s="3" t="s">
        <v>205</v>
      </c>
      <c r="C140" s="3" t="s">
        <v>410</v>
      </c>
      <c r="D140" s="13" t="s">
        <v>411</v>
      </c>
      <c r="E140" s="8">
        <v>1</v>
      </c>
      <c r="F140" s="12" t="str">
        <f t="shared" si="14"/>
        <v>Ø50 × 90</v>
      </c>
      <c r="G140" s="3" t="s">
        <v>396</v>
      </c>
      <c r="H140" s="3" t="s">
        <v>397</v>
      </c>
      <c r="I140" s="3" t="s">
        <v>407</v>
      </c>
      <c r="J140" s="3" t="s">
        <v>398</v>
      </c>
      <c r="K140" s="3" t="s">
        <v>29</v>
      </c>
      <c r="L140" s="10">
        <v>40</v>
      </c>
      <c r="M140" s="15">
        <v>40</v>
      </c>
      <c r="N140" s="10">
        <v>60</v>
      </c>
      <c r="O140" s="11">
        <v>0</v>
      </c>
      <c r="P140" s="10">
        <v>0</v>
      </c>
      <c r="Q140" s="10">
        <v>0</v>
      </c>
      <c r="R140" s="10">
        <v>20</v>
      </c>
      <c r="S140" s="10">
        <v>3</v>
      </c>
      <c r="T140" s="10">
        <v>5</v>
      </c>
      <c r="U140" s="9">
        <f t="shared" si="15"/>
        <v>40</v>
      </c>
      <c r="V140" s="9" t="str">
        <f t="shared" si="16"/>
        <v/>
      </c>
      <c r="W140" s="9">
        <f t="shared" si="17"/>
        <v>80</v>
      </c>
      <c r="X140" s="9">
        <f t="shared" si="18"/>
        <v>50</v>
      </c>
      <c r="Y140" s="9" t="str">
        <f t="shared" si="19"/>
        <v/>
      </c>
      <c r="Z140" s="9">
        <f t="shared" si="20"/>
        <v>90</v>
      </c>
      <c r="AA140" s="3" t="s">
        <v>425</v>
      </c>
      <c r="AB140" s="3" t="s">
        <v>413</v>
      </c>
    </row>
    <row r="141" spans="1:28" ht="76" customHeight="1">
      <c r="A141" s="6" t="s">
        <v>74</v>
      </c>
      <c r="B141" s="3" t="s">
        <v>208</v>
      </c>
      <c r="C141" s="3" t="s">
        <v>395</v>
      </c>
      <c r="D141" s="14" t="s">
        <v>245</v>
      </c>
      <c r="E141" s="8">
        <v>2</v>
      </c>
      <c r="F141" s="12" t="str">
        <f t="shared" si="14"/>
        <v>130 × 110 × 45</v>
      </c>
      <c r="G141" s="3" t="s">
        <v>396</v>
      </c>
      <c r="H141" s="3" t="s">
        <v>397</v>
      </c>
      <c r="I141" s="3" t="str">
        <f>'Quantity grades'!G63</f>
        <v>H13 / 1.2083</v>
      </c>
      <c r="J141" s="3" t="s">
        <v>398</v>
      </c>
      <c r="K141" s="3" t="s">
        <v>22</v>
      </c>
      <c r="L141" s="10">
        <v>60</v>
      </c>
      <c r="M141" s="10">
        <v>40</v>
      </c>
      <c r="N141" s="10">
        <v>7.5</v>
      </c>
      <c r="O141" s="11">
        <v>5.0000000000000001E-3</v>
      </c>
      <c r="P141" s="10">
        <v>30</v>
      </c>
      <c r="Q141" s="10">
        <v>30</v>
      </c>
      <c r="R141" s="10">
        <v>30</v>
      </c>
      <c r="S141" s="10">
        <v>3</v>
      </c>
      <c r="T141" s="10">
        <v>5</v>
      </c>
      <c r="U141" s="9">
        <f t="shared" si="15"/>
        <v>120.3</v>
      </c>
      <c r="V141" s="9">
        <f t="shared" si="16"/>
        <v>100.19999999999999</v>
      </c>
      <c r="W141" s="9">
        <f t="shared" si="17"/>
        <v>37.537500000000001</v>
      </c>
      <c r="X141" s="9">
        <f t="shared" si="18"/>
        <v>130</v>
      </c>
      <c r="Y141" s="9">
        <f t="shared" si="19"/>
        <v>110</v>
      </c>
      <c r="Z141" s="9">
        <f t="shared" si="20"/>
        <v>45</v>
      </c>
      <c r="AA141" s="3" t="s">
        <v>426</v>
      </c>
      <c r="AB141" s="3" t="s">
        <v>400</v>
      </c>
    </row>
    <row r="142" spans="1:28" ht="76" customHeight="1">
      <c r="A142" s="6" t="s">
        <v>74</v>
      </c>
      <c r="B142" s="3" t="s">
        <v>208</v>
      </c>
      <c r="C142" s="3" t="s">
        <v>401</v>
      </c>
      <c r="D142" s="13" t="s">
        <v>364</v>
      </c>
      <c r="E142" s="8">
        <v>2</v>
      </c>
      <c r="F142" s="12" t="str">
        <f t="shared" si="14"/>
        <v>Ø9 × 43</v>
      </c>
      <c r="G142" s="3" t="s">
        <v>396</v>
      </c>
      <c r="H142" s="3" t="s">
        <v>397</v>
      </c>
      <c r="I142" s="3" t="s">
        <v>402</v>
      </c>
      <c r="J142" s="3" t="s">
        <v>398</v>
      </c>
      <c r="K142" s="3" t="s">
        <v>29</v>
      </c>
      <c r="L142" s="10">
        <v>6</v>
      </c>
      <c r="M142" s="15">
        <v>6</v>
      </c>
      <c r="N142" s="10">
        <v>40</v>
      </c>
      <c r="O142" s="11">
        <v>5.0000000000000001E-3</v>
      </c>
      <c r="P142" s="10">
        <v>0</v>
      </c>
      <c r="Q142" s="10">
        <v>0</v>
      </c>
      <c r="R142" s="10">
        <v>0</v>
      </c>
      <c r="S142" s="10">
        <v>1</v>
      </c>
      <c r="T142" s="10">
        <v>1</v>
      </c>
      <c r="U142" s="9">
        <f t="shared" si="15"/>
        <v>6.0299999999999994</v>
      </c>
      <c r="V142" s="9" t="str">
        <f t="shared" si="16"/>
        <v/>
      </c>
      <c r="W142" s="9">
        <f t="shared" si="17"/>
        <v>40.199999999999996</v>
      </c>
      <c r="X142" s="9">
        <f t="shared" si="18"/>
        <v>9</v>
      </c>
      <c r="Y142" s="9" t="str">
        <f t="shared" si="19"/>
        <v/>
      </c>
      <c r="Z142" s="9">
        <f t="shared" si="20"/>
        <v>43</v>
      </c>
      <c r="AA142" s="3" t="s">
        <v>427</v>
      </c>
      <c r="AB142" s="3" t="s">
        <v>404</v>
      </c>
    </row>
    <row r="143" spans="1:28" ht="76" customHeight="1">
      <c r="A143" s="6" t="s">
        <v>74</v>
      </c>
      <c r="B143" s="3" t="s">
        <v>208</v>
      </c>
      <c r="C143" s="3" t="s">
        <v>405</v>
      </c>
      <c r="D143" s="14" t="s">
        <v>406</v>
      </c>
      <c r="E143" s="8">
        <v>1</v>
      </c>
      <c r="F143" s="12" t="str">
        <f t="shared" si="14"/>
        <v>Ø90 × 60</v>
      </c>
      <c r="G143" s="3" t="s">
        <v>396</v>
      </c>
      <c r="H143" s="3" t="s">
        <v>397</v>
      </c>
      <c r="I143" s="3" t="s">
        <v>407</v>
      </c>
      <c r="J143" s="3" t="s">
        <v>398</v>
      </c>
      <c r="K143" s="3" t="s">
        <v>29</v>
      </c>
      <c r="L143" s="10">
        <v>40</v>
      </c>
      <c r="M143" s="15">
        <v>40</v>
      </c>
      <c r="N143" s="10">
        <v>30</v>
      </c>
      <c r="O143" s="11">
        <v>0</v>
      </c>
      <c r="P143" s="10">
        <v>20</v>
      </c>
      <c r="Q143" s="10">
        <v>20</v>
      </c>
      <c r="R143" s="10">
        <v>20</v>
      </c>
      <c r="S143" s="10">
        <v>3</v>
      </c>
      <c r="T143" s="10">
        <v>5</v>
      </c>
      <c r="U143" s="9">
        <f t="shared" si="15"/>
        <v>80</v>
      </c>
      <c r="V143" s="9" t="str">
        <f t="shared" si="16"/>
        <v/>
      </c>
      <c r="W143" s="9">
        <f t="shared" si="17"/>
        <v>50</v>
      </c>
      <c r="X143" s="9">
        <f t="shared" si="18"/>
        <v>90</v>
      </c>
      <c r="Y143" s="9" t="str">
        <f t="shared" si="19"/>
        <v/>
      </c>
      <c r="Z143" s="9">
        <f t="shared" si="20"/>
        <v>60</v>
      </c>
      <c r="AA143" s="3" t="s">
        <v>428</v>
      </c>
      <c r="AB143" s="3" t="s">
        <v>409</v>
      </c>
    </row>
    <row r="144" spans="1:28" ht="76" customHeight="1">
      <c r="A144" s="6" t="s">
        <v>74</v>
      </c>
      <c r="B144" s="3" t="s">
        <v>208</v>
      </c>
      <c r="C144" s="3" t="s">
        <v>410</v>
      </c>
      <c r="D144" s="13" t="s">
        <v>411</v>
      </c>
      <c r="E144" s="8">
        <v>1</v>
      </c>
      <c r="F144" s="12" t="str">
        <f t="shared" si="14"/>
        <v>Ø50 × 90</v>
      </c>
      <c r="G144" s="3" t="s">
        <v>396</v>
      </c>
      <c r="H144" s="3" t="s">
        <v>397</v>
      </c>
      <c r="I144" s="3" t="s">
        <v>407</v>
      </c>
      <c r="J144" s="3" t="s">
        <v>398</v>
      </c>
      <c r="K144" s="3" t="s">
        <v>29</v>
      </c>
      <c r="L144" s="10">
        <v>40</v>
      </c>
      <c r="M144" s="15">
        <v>40</v>
      </c>
      <c r="N144" s="10">
        <v>60</v>
      </c>
      <c r="O144" s="11">
        <v>0</v>
      </c>
      <c r="P144" s="10">
        <v>0</v>
      </c>
      <c r="Q144" s="10">
        <v>0</v>
      </c>
      <c r="R144" s="10">
        <v>20</v>
      </c>
      <c r="S144" s="10">
        <v>3</v>
      </c>
      <c r="T144" s="10">
        <v>5</v>
      </c>
      <c r="U144" s="9">
        <f t="shared" si="15"/>
        <v>40</v>
      </c>
      <c r="V144" s="9" t="str">
        <f t="shared" si="16"/>
        <v/>
      </c>
      <c r="W144" s="9">
        <f t="shared" si="17"/>
        <v>80</v>
      </c>
      <c r="X144" s="9">
        <f t="shared" si="18"/>
        <v>50</v>
      </c>
      <c r="Y144" s="9" t="str">
        <f t="shared" si="19"/>
        <v/>
      </c>
      <c r="Z144" s="9">
        <f t="shared" si="20"/>
        <v>90</v>
      </c>
      <c r="AA144" s="3" t="s">
        <v>429</v>
      </c>
      <c r="AB144" s="3" t="s">
        <v>413</v>
      </c>
    </row>
    <row r="145" spans="1:28" ht="76" customHeight="1">
      <c r="A145" s="6" t="s">
        <v>74</v>
      </c>
      <c r="B145" s="3" t="s">
        <v>211</v>
      </c>
      <c r="C145" s="3" t="s">
        <v>395</v>
      </c>
      <c r="D145" s="14" t="s">
        <v>245</v>
      </c>
      <c r="E145" s="8">
        <v>2</v>
      </c>
      <c r="F145" s="12" t="str">
        <f t="shared" si="14"/>
        <v>130 × 110 × 45</v>
      </c>
      <c r="G145" s="3" t="s">
        <v>396</v>
      </c>
      <c r="H145" s="3" t="s">
        <v>397</v>
      </c>
      <c r="I145" s="3" t="str">
        <f>'Quantity grades'!G64</f>
        <v>Premium hardened mold steel / wear-resistant inserts</v>
      </c>
      <c r="J145" s="3" t="s">
        <v>398</v>
      </c>
      <c r="K145" s="3" t="s">
        <v>22</v>
      </c>
      <c r="L145" s="10">
        <v>60</v>
      </c>
      <c r="M145" s="10">
        <v>40</v>
      </c>
      <c r="N145" s="10">
        <v>7.5</v>
      </c>
      <c r="O145" s="11">
        <v>5.0000000000000001E-3</v>
      </c>
      <c r="P145" s="10">
        <v>30</v>
      </c>
      <c r="Q145" s="10">
        <v>30</v>
      </c>
      <c r="R145" s="10">
        <v>30</v>
      </c>
      <c r="S145" s="10">
        <v>3</v>
      </c>
      <c r="T145" s="10">
        <v>5</v>
      </c>
      <c r="U145" s="9">
        <f t="shared" si="15"/>
        <v>120.3</v>
      </c>
      <c r="V145" s="9">
        <f t="shared" si="16"/>
        <v>100.19999999999999</v>
      </c>
      <c r="W145" s="9">
        <f t="shared" si="17"/>
        <v>37.537500000000001</v>
      </c>
      <c r="X145" s="9">
        <f t="shared" si="18"/>
        <v>130</v>
      </c>
      <c r="Y145" s="9">
        <f t="shared" si="19"/>
        <v>110</v>
      </c>
      <c r="Z145" s="9">
        <f t="shared" si="20"/>
        <v>45</v>
      </c>
      <c r="AA145" s="3" t="s">
        <v>430</v>
      </c>
      <c r="AB145" s="3" t="s">
        <v>400</v>
      </c>
    </row>
    <row r="146" spans="1:28" ht="76" customHeight="1">
      <c r="A146" s="6" t="s">
        <v>74</v>
      </c>
      <c r="B146" s="3" t="s">
        <v>211</v>
      </c>
      <c r="C146" s="3" t="s">
        <v>401</v>
      </c>
      <c r="D146" s="13" t="s">
        <v>364</v>
      </c>
      <c r="E146" s="8">
        <v>2</v>
      </c>
      <c r="F146" s="12" t="str">
        <f t="shared" si="14"/>
        <v>Ø9 × 43</v>
      </c>
      <c r="G146" s="3" t="s">
        <v>396</v>
      </c>
      <c r="H146" s="3" t="s">
        <v>397</v>
      </c>
      <c r="I146" s="3" t="s">
        <v>402</v>
      </c>
      <c r="J146" s="3" t="s">
        <v>398</v>
      </c>
      <c r="K146" s="3" t="s">
        <v>29</v>
      </c>
      <c r="L146" s="10">
        <v>6</v>
      </c>
      <c r="M146" s="15">
        <v>6</v>
      </c>
      <c r="N146" s="10">
        <v>40</v>
      </c>
      <c r="O146" s="11">
        <v>5.0000000000000001E-3</v>
      </c>
      <c r="P146" s="10">
        <v>0</v>
      </c>
      <c r="Q146" s="10">
        <v>0</v>
      </c>
      <c r="R146" s="10">
        <v>0</v>
      </c>
      <c r="S146" s="10">
        <v>1</v>
      </c>
      <c r="T146" s="10">
        <v>1</v>
      </c>
      <c r="U146" s="9">
        <f t="shared" si="15"/>
        <v>6.0299999999999994</v>
      </c>
      <c r="V146" s="9" t="str">
        <f t="shared" si="16"/>
        <v/>
      </c>
      <c r="W146" s="9">
        <f t="shared" si="17"/>
        <v>40.199999999999996</v>
      </c>
      <c r="X146" s="9">
        <f t="shared" si="18"/>
        <v>9</v>
      </c>
      <c r="Y146" s="9" t="str">
        <f t="shared" si="19"/>
        <v/>
      </c>
      <c r="Z146" s="9">
        <f t="shared" si="20"/>
        <v>43</v>
      </c>
      <c r="AA146" s="3" t="s">
        <v>431</v>
      </c>
      <c r="AB146" s="3" t="s">
        <v>404</v>
      </c>
    </row>
    <row r="147" spans="1:28" ht="76" customHeight="1">
      <c r="A147" s="6" t="s">
        <v>74</v>
      </c>
      <c r="B147" s="3" t="s">
        <v>211</v>
      </c>
      <c r="C147" s="3" t="s">
        <v>405</v>
      </c>
      <c r="D147" s="14" t="s">
        <v>406</v>
      </c>
      <c r="E147" s="8">
        <v>1</v>
      </c>
      <c r="F147" s="12" t="str">
        <f t="shared" si="14"/>
        <v>Ø90 × 60</v>
      </c>
      <c r="G147" s="3" t="s">
        <v>396</v>
      </c>
      <c r="H147" s="3" t="s">
        <v>397</v>
      </c>
      <c r="I147" s="3" t="s">
        <v>407</v>
      </c>
      <c r="J147" s="3" t="s">
        <v>398</v>
      </c>
      <c r="K147" s="3" t="s">
        <v>29</v>
      </c>
      <c r="L147" s="10">
        <v>40</v>
      </c>
      <c r="M147" s="15">
        <v>40</v>
      </c>
      <c r="N147" s="10">
        <v>30</v>
      </c>
      <c r="O147" s="11">
        <v>0</v>
      </c>
      <c r="P147" s="10">
        <v>20</v>
      </c>
      <c r="Q147" s="10">
        <v>20</v>
      </c>
      <c r="R147" s="10">
        <v>20</v>
      </c>
      <c r="S147" s="10">
        <v>3</v>
      </c>
      <c r="T147" s="10">
        <v>5</v>
      </c>
      <c r="U147" s="9">
        <f t="shared" si="15"/>
        <v>80</v>
      </c>
      <c r="V147" s="9" t="str">
        <f t="shared" si="16"/>
        <v/>
      </c>
      <c r="W147" s="9">
        <f t="shared" si="17"/>
        <v>50</v>
      </c>
      <c r="X147" s="9">
        <f t="shared" si="18"/>
        <v>90</v>
      </c>
      <c r="Y147" s="9" t="str">
        <f t="shared" si="19"/>
        <v/>
      </c>
      <c r="Z147" s="9">
        <f t="shared" si="20"/>
        <v>60</v>
      </c>
      <c r="AA147" s="3" t="s">
        <v>432</v>
      </c>
      <c r="AB147" s="3" t="s">
        <v>409</v>
      </c>
    </row>
    <row r="148" spans="1:28" ht="76" customHeight="1">
      <c r="A148" s="6" t="s">
        <v>74</v>
      </c>
      <c r="B148" s="3" t="s">
        <v>211</v>
      </c>
      <c r="C148" s="3" t="s">
        <v>410</v>
      </c>
      <c r="D148" s="13" t="s">
        <v>411</v>
      </c>
      <c r="E148" s="8">
        <v>1</v>
      </c>
      <c r="F148" s="12" t="str">
        <f t="shared" si="14"/>
        <v>Ø50 × 90</v>
      </c>
      <c r="G148" s="3" t="s">
        <v>396</v>
      </c>
      <c r="H148" s="3" t="s">
        <v>397</v>
      </c>
      <c r="I148" s="3" t="s">
        <v>407</v>
      </c>
      <c r="J148" s="3" t="s">
        <v>398</v>
      </c>
      <c r="K148" s="3" t="s">
        <v>29</v>
      </c>
      <c r="L148" s="10">
        <v>40</v>
      </c>
      <c r="M148" s="15">
        <v>40</v>
      </c>
      <c r="N148" s="10">
        <v>60</v>
      </c>
      <c r="O148" s="11">
        <v>0</v>
      </c>
      <c r="P148" s="10">
        <v>0</v>
      </c>
      <c r="Q148" s="10">
        <v>0</v>
      </c>
      <c r="R148" s="10">
        <v>20</v>
      </c>
      <c r="S148" s="10">
        <v>3</v>
      </c>
      <c r="T148" s="10">
        <v>5</v>
      </c>
      <c r="U148" s="9">
        <f t="shared" si="15"/>
        <v>40</v>
      </c>
      <c r="V148" s="9" t="str">
        <f t="shared" si="16"/>
        <v/>
      </c>
      <c r="W148" s="9">
        <f t="shared" si="17"/>
        <v>80</v>
      </c>
      <c r="X148" s="9">
        <f t="shared" si="18"/>
        <v>50</v>
      </c>
      <c r="Y148" s="9" t="str">
        <f t="shared" si="19"/>
        <v/>
      </c>
      <c r="Z148" s="9">
        <f t="shared" si="20"/>
        <v>90</v>
      </c>
      <c r="AA148" s="3" t="s">
        <v>433</v>
      </c>
      <c r="AB148" s="3" t="s">
        <v>413</v>
      </c>
    </row>
    <row r="149" spans="1:28" ht="76" customHeight="1">
      <c r="A149" s="6" t="s">
        <v>82</v>
      </c>
      <c r="B149" s="3" t="s">
        <v>187</v>
      </c>
      <c r="C149" s="3" t="s">
        <v>434</v>
      </c>
      <c r="D149" s="14" t="s">
        <v>435</v>
      </c>
      <c r="E149" s="8">
        <v>2</v>
      </c>
      <c r="F149" s="12" t="str">
        <f t="shared" si="14"/>
        <v>150 × 150 × 70</v>
      </c>
      <c r="G149" s="3" t="s">
        <v>436</v>
      </c>
      <c r="H149" s="3" t="s">
        <v>437</v>
      </c>
      <c r="I149" s="3" t="s">
        <v>268</v>
      </c>
      <c r="J149" s="3" t="s">
        <v>438</v>
      </c>
      <c r="K149" s="3" t="s">
        <v>22</v>
      </c>
      <c r="L149" s="10">
        <v>100</v>
      </c>
      <c r="M149" s="10">
        <v>100</v>
      </c>
      <c r="N149" s="10">
        <v>50</v>
      </c>
      <c r="O149" s="11">
        <v>0.03</v>
      </c>
      <c r="P149" s="10">
        <v>20</v>
      </c>
      <c r="Q149" s="10">
        <v>20</v>
      </c>
      <c r="R149" s="10">
        <v>8</v>
      </c>
      <c r="S149" s="10">
        <v>3</v>
      </c>
      <c r="T149" s="10">
        <v>5</v>
      </c>
      <c r="U149" s="9">
        <f t="shared" si="15"/>
        <v>143</v>
      </c>
      <c r="V149" s="9">
        <f t="shared" si="16"/>
        <v>143</v>
      </c>
      <c r="W149" s="9">
        <f t="shared" si="17"/>
        <v>59.5</v>
      </c>
      <c r="X149" s="9">
        <f t="shared" si="18"/>
        <v>150</v>
      </c>
      <c r="Y149" s="9">
        <f t="shared" si="19"/>
        <v>150</v>
      </c>
      <c r="Z149" s="9">
        <f t="shared" si="20"/>
        <v>70</v>
      </c>
      <c r="AA149" s="3" t="s">
        <v>439</v>
      </c>
      <c r="AB149" s="3" t="s">
        <v>440</v>
      </c>
    </row>
    <row r="150" spans="1:28" ht="76" customHeight="1">
      <c r="A150" s="6" t="s">
        <v>82</v>
      </c>
      <c r="B150" s="3" t="s">
        <v>199</v>
      </c>
      <c r="C150" s="3" t="s">
        <v>434</v>
      </c>
      <c r="D150" s="14" t="s">
        <v>435</v>
      </c>
      <c r="E150" s="8">
        <v>2</v>
      </c>
      <c r="F150" s="12" t="str">
        <f t="shared" si="14"/>
        <v>150 × 150 × 70</v>
      </c>
      <c r="G150" s="3" t="s">
        <v>436</v>
      </c>
      <c r="H150" s="3" t="s">
        <v>437</v>
      </c>
      <c r="I150" s="3" t="s">
        <v>268</v>
      </c>
      <c r="J150" s="3" t="s">
        <v>438</v>
      </c>
      <c r="K150" s="3" t="s">
        <v>22</v>
      </c>
      <c r="L150" s="10">
        <v>100</v>
      </c>
      <c r="M150" s="10">
        <v>100</v>
      </c>
      <c r="N150" s="10">
        <v>50</v>
      </c>
      <c r="O150" s="11">
        <v>0.03</v>
      </c>
      <c r="P150" s="10">
        <v>20</v>
      </c>
      <c r="Q150" s="10">
        <v>20</v>
      </c>
      <c r="R150" s="10">
        <v>8</v>
      </c>
      <c r="S150" s="10">
        <v>3</v>
      </c>
      <c r="T150" s="10">
        <v>5</v>
      </c>
      <c r="U150" s="9">
        <f t="shared" si="15"/>
        <v>143</v>
      </c>
      <c r="V150" s="9">
        <f t="shared" si="16"/>
        <v>143</v>
      </c>
      <c r="W150" s="9">
        <f t="shared" si="17"/>
        <v>59.5</v>
      </c>
      <c r="X150" s="9">
        <f t="shared" si="18"/>
        <v>150</v>
      </c>
      <c r="Y150" s="9">
        <f t="shared" si="19"/>
        <v>150</v>
      </c>
      <c r="Z150" s="9">
        <f t="shared" si="20"/>
        <v>70</v>
      </c>
      <c r="AA150" s="3" t="s">
        <v>441</v>
      </c>
      <c r="AB150" s="3" t="s">
        <v>440</v>
      </c>
    </row>
    <row r="151" spans="1:28" ht="76" customHeight="1">
      <c r="A151" s="6" t="s">
        <v>82</v>
      </c>
      <c r="B151" s="3" t="s">
        <v>202</v>
      </c>
      <c r="C151" s="3" t="s">
        <v>434</v>
      </c>
      <c r="D151" s="14" t="s">
        <v>435</v>
      </c>
      <c r="E151" s="8">
        <v>2</v>
      </c>
      <c r="F151" s="12" t="str">
        <f t="shared" si="14"/>
        <v>150 × 150 × 70</v>
      </c>
      <c r="G151" s="3" t="s">
        <v>436</v>
      </c>
      <c r="H151" s="3" t="s">
        <v>437</v>
      </c>
      <c r="I151" s="3" t="s">
        <v>268</v>
      </c>
      <c r="J151" s="3" t="s">
        <v>438</v>
      </c>
      <c r="K151" s="3" t="s">
        <v>22</v>
      </c>
      <c r="L151" s="10">
        <v>100</v>
      </c>
      <c r="M151" s="10">
        <v>100</v>
      </c>
      <c r="N151" s="10">
        <v>50</v>
      </c>
      <c r="O151" s="11">
        <v>0.03</v>
      </c>
      <c r="P151" s="10">
        <v>20</v>
      </c>
      <c r="Q151" s="10">
        <v>20</v>
      </c>
      <c r="R151" s="10">
        <v>8</v>
      </c>
      <c r="S151" s="10">
        <v>3</v>
      </c>
      <c r="T151" s="10">
        <v>5</v>
      </c>
      <c r="U151" s="9">
        <f t="shared" si="15"/>
        <v>143</v>
      </c>
      <c r="V151" s="9">
        <f t="shared" si="16"/>
        <v>143</v>
      </c>
      <c r="W151" s="9">
        <f t="shared" si="17"/>
        <v>59.5</v>
      </c>
      <c r="X151" s="9">
        <f t="shared" si="18"/>
        <v>150</v>
      </c>
      <c r="Y151" s="9">
        <f t="shared" si="19"/>
        <v>150</v>
      </c>
      <c r="Z151" s="9">
        <f t="shared" si="20"/>
        <v>70</v>
      </c>
      <c r="AA151" s="3" t="s">
        <v>442</v>
      </c>
      <c r="AB151" s="3" t="s">
        <v>440</v>
      </c>
    </row>
    <row r="152" spans="1:28" ht="76" customHeight="1">
      <c r="A152" s="6" t="s">
        <v>82</v>
      </c>
      <c r="B152" s="3" t="s">
        <v>205</v>
      </c>
      <c r="C152" s="3" t="s">
        <v>434</v>
      </c>
      <c r="D152" s="14" t="s">
        <v>435</v>
      </c>
      <c r="E152" s="8">
        <v>2</v>
      </c>
      <c r="F152" s="12" t="str">
        <f t="shared" si="14"/>
        <v>150 × 150 × 70</v>
      </c>
      <c r="G152" s="3" t="s">
        <v>436</v>
      </c>
      <c r="H152" s="3" t="s">
        <v>437</v>
      </c>
      <c r="I152" s="3" t="s">
        <v>268</v>
      </c>
      <c r="J152" s="3" t="s">
        <v>438</v>
      </c>
      <c r="K152" s="3" t="s">
        <v>22</v>
      </c>
      <c r="L152" s="10">
        <v>100</v>
      </c>
      <c r="M152" s="10">
        <v>100</v>
      </c>
      <c r="N152" s="10">
        <v>50</v>
      </c>
      <c r="O152" s="11">
        <v>0.03</v>
      </c>
      <c r="P152" s="10">
        <v>20</v>
      </c>
      <c r="Q152" s="10">
        <v>20</v>
      </c>
      <c r="R152" s="10">
        <v>8</v>
      </c>
      <c r="S152" s="10">
        <v>3</v>
      </c>
      <c r="T152" s="10">
        <v>5</v>
      </c>
      <c r="U152" s="9">
        <f t="shared" si="15"/>
        <v>143</v>
      </c>
      <c r="V152" s="9">
        <f t="shared" si="16"/>
        <v>143</v>
      </c>
      <c r="W152" s="9">
        <f t="shared" si="17"/>
        <v>59.5</v>
      </c>
      <c r="X152" s="9">
        <f t="shared" si="18"/>
        <v>150</v>
      </c>
      <c r="Y152" s="9">
        <f t="shared" si="19"/>
        <v>150</v>
      </c>
      <c r="Z152" s="9">
        <f t="shared" si="20"/>
        <v>70</v>
      </c>
      <c r="AA152" s="3" t="s">
        <v>443</v>
      </c>
      <c r="AB152" s="3" t="s">
        <v>440</v>
      </c>
    </row>
    <row r="153" spans="1:28" ht="76" customHeight="1">
      <c r="A153" s="6" t="s">
        <v>82</v>
      </c>
      <c r="B153" s="3" t="s">
        <v>208</v>
      </c>
      <c r="C153" s="3" t="s">
        <v>434</v>
      </c>
      <c r="D153" s="14" t="s">
        <v>435</v>
      </c>
      <c r="E153" s="8">
        <v>2</v>
      </c>
      <c r="F153" s="12" t="str">
        <f t="shared" si="14"/>
        <v>150 × 150 × 70</v>
      </c>
      <c r="G153" s="3" t="s">
        <v>436</v>
      </c>
      <c r="H153" s="3" t="s">
        <v>437</v>
      </c>
      <c r="I153" s="3" t="s">
        <v>268</v>
      </c>
      <c r="J153" s="3" t="s">
        <v>438</v>
      </c>
      <c r="K153" s="3" t="s">
        <v>22</v>
      </c>
      <c r="L153" s="10">
        <v>100</v>
      </c>
      <c r="M153" s="10">
        <v>100</v>
      </c>
      <c r="N153" s="10">
        <v>50</v>
      </c>
      <c r="O153" s="11">
        <v>0.03</v>
      </c>
      <c r="P153" s="10">
        <v>20</v>
      </c>
      <c r="Q153" s="10">
        <v>20</v>
      </c>
      <c r="R153" s="10">
        <v>8</v>
      </c>
      <c r="S153" s="10">
        <v>3</v>
      </c>
      <c r="T153" s="10">
        <v>5</v>
      </c>
      <c r="U153" s="9">
        <f t="shared" si="15"/>
        <v>143</v>
      </c>
      <c r="V153" s="9">
        <f t="shared" si="16"/>
        <v>143</v>
      </c>
      <c r="W153" s="9">
        <f t="shared" si="17"/>
        <v>59.5</v>
      </c>
      <c r="X153" s="9">
        <f t="shared" si="18"/>
        <v>150</v>
      </c>
      <c r="Y153" s="9">
        <f t="shared" si="19"/>
        <v>150</v>
      </c>
      <c r="Z153" s="9">
        <f t="shared" si="20"/>
        <v>70</v>
      </c>
      <c r="AA153" s="3" t="s">
        <v>444</v>
      </c>
      <c r="AB153" s="3" t="s">
        <v>440</v>
      </c>
    </row>
    <row r="154" spans="1:28" ht="76" customHeight="1">
      <c r="A154" s="6" t="s">
        <v>82</v>
      </c>
      <c r="B154" s="3" t="s">
        <v>211</v>
      </c>
      <c r="C154" s="3" t="s">
        <v>434</v>
      </c>
      <c r="D154" s="14" t="s">
        <v>435</v>
      </c>
      <c r="E154" s="8">
        <v>2</v>
      </c>
      <c r="F154" s="12" t="str">
        <f t="shared" si="14"/>
        <v>150 × 150 × 70</v>
      </c>
      <c r="G154" s="3" t="s">
        <v>436</v>
      </c>
      <c r="H154" s="3" t="s">
        <v>437</v>
      </c>
      <c r="I154" s="3" t="s">
        <v>268</v>
      </c>
      <c r="J154" s="3" t="s">
        <v>438</v>
      </c>
      <c r="K154" s="3" t="s">
        <v>22</v>
      </c>
      <c r="L154" s="10">
        <v>100</v>
      </c>
      <c r="M154" s="10">
        <v>100</v>
      </c>
      <c r="N154" s="10">
        <v>50</v>
      </c>
      <c r="O154" s="11">
        <v>0.03</v>
      </c>
      <c r="P154" s="10">
        <v>20</v>
      </c>
      <c r="Q154" s="10">
        <v>20</v>
      </c>
      <c r="R154" s="10">
        <v>8</v>
      </c>
      <c r="S154" s="10">
        <v>3</v>
      </c>
      <c r="T154" s="10">
        <v>5</v>
      </c>
      <c r="U154" s="9">
        <f t="shared" si="15"/>
        <v>143</v>
      </c>
      <c r="V154" s="9">
        <f t="shared" si="16"/>
        <v>143</v>
      </c>
      <c r="W154" s="9">
        <f t="shared" si="17"/>
        <v>59.5</v>
      </c>
      <c r="X154" s="9">
        <f t="shared" si="18"/>
        <v>150</v>
      </c>
      <c r="Y154" s="9">
        <f t="shared" si="19"/>
        <v>150</v>
      </c>
      <c r="Z154" s="9">
        <f t="shared" si="20"/>
        <v>70</v>
      </c>
      <c r="AA154" s="3" t="s">
        <v>445</v>
      </c>
      <c r="AB154" s="3" t="s">
        <v>440</v>
      </c>
    </row>
    <row r="155" spans="1:28" ht="76" customHeight="1">
      <c r="A155" s="6" t="s">
        <v>87</v>
      </c>
      <c r="B155" s="3" t="s">
        <v>187</v>
      </c>
      <c r="C155" s="3" t="s">
        <v>446</v>
      </c>
      <c r="D155" s="14" t="s">
        <v>196</v>
      </c>
      <c r="E155" s="8">
        <v>1</v>
      </c>
      <c r="F155" s="12" t="str">
        <f t="shared" si="14"/>
        <v>Ø110 × 70</v>
      </c>
      <c r="G155" s="3" t="s">
        <v>447</v>
      </c>
      <c r="H155" s="3" t="s">
        <v>448</v>
      </c>
      <c r="I155" s="3" t="str">
        <f>'Quantity grades'!G71</f>
        <v>A2 / D2</v>
      </c>
      <c r="J155" s="3" t="s">
        <v>449</v>
      </c>
      <c r="K155" s="3" t="s">
        <v>29</v>
      </c>
      <c r="L155" s="10">
        <v>40</v>
      </c>
      <c r="M155" s="15">
        <v>40</v>
      </c>
      <c r="N155" s="10">
        <v>50</v>
      </c>
      <c r="O155" s="11">
        <v>0</v>
      </c>
      <c r="P155" s="10">
        <v>30</v>
      </c>
      <c r="Q155" s="10">
        <v>30</v>
      </c>
      <c r="R155" s="10">
        <v>10</v>
      </c>
      <c r="S155" s="10">
        <v>3</v>
      </c>
      <c r="T155" s="10">
        <v>5</v>
      </c>
      <c r="U155" s="9">
        <f t="shared" si="15"/>
        <v>100</v>
      </c>
      <c r="V155" s="9" t="str">
        <f t="shared" si="16"/>
        <v/>
      </c>
      <c r="W155" s="9">
        <f t="shared" si="17"/>
        <v>60</v>
      </c>
      <c r="X155" s="9">
        <f t="shared" si="18"/>
        <v>110</v>
      </c>
      <c r="Y155" s="9" t="str">
        <f t="shared" si="19"/>
        <v/>
      </c>
      <c r="Z155" s="9">
        <f t="shared" si="20"/>
        <v>70</v>
      </c>
      <c r="AA155" s="3" t="s">
        <v>450</v>
      </c>
      <c r="AB155" s="3" t="s">
        <v>451</v>
      </c>
    </row>
    <row r="156" spans="1:28" ht="76" customHeight="1">
      <c r="A156" s="6" t="s">
        <v>87</v>
      </c>
      <c r="B156" s="3" t="s">
        <v>187</v>
      </c>
      <c r="C156" s="3" t="s">
        <v>452</v>
      </c>
      <c r="D156" s="13" t="s">
        <v>453</v>
      </c>
      <c r="E156" s="8">
        <v>1</v>
      </c>
      <c r="F156" s="12" t="str">
        <f t="shared" si="14"/>
        <v>Ø50 × 70</v>
      </c>
      <c r="G156" s="3" t="s">
        <v>447</v>
      </c>
      <c r="H156" s="3" t="s">
        <v>448</v>
      </c>
      <c r="I156" s="3" t="str">
        <f>'Quantity grades'!G71</f>
        <v>A2 / D2</v>
      </c>
      <c r="J156" s="3" t="s">
        <v>449</v>
      </c>
      <c r="K156" s="3" t="s">
        <v>29</v>
      </c>
      <c r="L156" s="10">
        <v>40</v>
      </c>
      <c r="M156" s="15">
        <v>40</v>
      </c>
      <c r="N156" s="10">
        <v>40</v>
      </c>
      <c r="O156" s="11">
        <v>0</v>
      </c>
      <c r="P156" s="10">
        <v>0</v>
      </c>
      <c r="Q156" s="10">
        <v>0</v>
      </c>
      <c r="R156" s="10">
        <v>20</v>
      </c>
      <c r="S156" s="10">
        <v>3</v>
      </c>
      <c r="T156" s="10">
        <v>5</v>
      </c>
      <c r="U156" s="9">
        <f t="shared" si="15"/>
        <v>40</v>
      </c>
      <c r="V156" s="9" t="str">
        <f t="shared" si="16"/>
        <v/>
      </c>
      <c r="W156" s="9">
        <f t="shared" si="17"/>
        <v>60</v>
      </c>
      <c r="X156" s="9">
        <f t="shared" si="18"/>
        <v>50</v>
      </c>
      <c r="Y156" s="9" t="str">
        <f t="shared" si="19"/>
        <v/>
      </c>
      <c r="Z156" s="9">
        <f t="shared" si="20"/>
        <v>70</v>
      </c>
      <c r="AA156" s="3" t="s">
        <v>454</v>
      </c>
      <c r="AB156" s="3" t="s">
        <v>455</v>
      </c>
    </row>
    <row r="157" spans="1:28" ht="76" customHeight="1">
      <c r="A157" s="6" t="s">
        <v>87</v>
      </c>
      <c r="B157" s="3" t="s">
        <v>187</v>
      </c>
      <c r="C157" s="3" t="s">
        <v>456</v>
      </c>
      <c r="D157" s="13" t="s">
        <v>453</v>
      </c>
      <c r="E157" s="8">
        <v>1</v>
      </c>
      <c r="F157" s="12" t="str">
        <f t="shared" si="14"/>
        <v>Ø40 × 90</v>
      </c>
      <c r="G157" s="3" t="s">
        <v>447</v>
      </c>
      <c r="H157" s="3" t="s">
        <v>448</v>
      </c>
      <c r="I157" s="3" t="str">
        <f>'Quantity grades'!G71</f>
        <v>A2 / D2</v>
      </c>
      <c r="J157" s="3" t="s">
        <v>449</v>
      </c>
      <c r="K157" s="3" t="s">
        <v>29</v>
      </c>
      <c r="L157" s="10">
        <v>30</v>
      </c>
      <c r="M157" s="15">
        <v>30</v>
      </c>
      <c r="N157" s="10">
        <v>60</v>
      </c>
      <c r="O157" s="11">
        <v>0</v>
      </c>
      <c r="P157" s="10">
        <v>0</v>
      </c>
      <c r="Q157" s="10">
        <v>0</v>
      </c>
      <c r="R157" s="10">
        <v>20</v>
      </c>
      <c r="S157" s="10">
        <v>3</v>
      </c>
      <c r="T157" s="10">
        <v>5</v>
      </c>
      <c r="U157" s="9">
        <f t="shared" si="15"/>
        <v>30</v>
      </c>
      <c r="V157" s="9" t="str">
        <f t="shared" si="16"/>
        <v/>
      </c>
      <c r="W157" s="9">
        <f t="shared" si="17"/>
        <v>80</v>
      </c>
      <c r="X157" s="9">
        <f t="shared" si="18"/>
        <v>40</v>
      </c>
      <c r="Y157" s="9" t="str">
        <f t="shared" si="19"/>
        <v/>
      </c>
      <c r="Z157" s="9">
        <f t="shared" si="20"/>
        <v>90</v>
      </c>
      <c r="AA157" s="3" t="s">
        <v>457</v>
      </c>
      <c r="AB157" s="3" t="s">
        <v>458</v>
      </c>
    </row>
    <row r="158" spans="1:28" ht="76" customHeight="1">
      <c r="A158" s="6" t="s">
        <v>87</v>
      </c>
      <c r="B158" s="3" t="s">
        <v>187</v>
      </c>
      <c r="C158" s="3" t="s">
        <v>459</v>
      </c>
      <c r="D158" s="13" t="s">
        <v>453</v>
      </c>
      <c r="E158" s="8">
        <v>1</v>
      </c>
      <c r="F158" s="12" t="str">
        <f t="shared" si="14"/>
        <v>Ø50 × 90</v>
      </c>
      <c r="G158" s="3" t="s">
        <v>447</v>
      </c>
      <c r="H158" s="3" t="s">
        <v>448</v>
      </c>
      <c r="I158" s="3" t="str">
        <f>'Quantity grades'!G71</f>
        <v>A2 / D2</v>
      </c>
      <c r="J158" s="3" t="s">
        <v>449</v>
      </c>
      <c r="K158" s="3" t="s">
        <v>29</v>
      </c>
      <c r="L158" s="10">
        <v>40</v>
      </c>
      <c r="M158" s="15">
        <v>40</v>
      </c>
      <c r="N158" s="10">
        <v>60</v>
      </c>
      <c r="O158" s="11">
        <v>0</v>
      </c>
      <c r="P158" s="10">
        <v>0</v>
      </c>
      <c r="Q158" s="10">
        <v>0</v>
      </c>
      <c r="R158" s="10">
        <v>20</v>
      </c>
      <c r="S158" s="10">
        <v>3</v>
      </c>
      <c r="T158" s="10">
        <v>5</v>
      </c>
      <c r="U158" s="9">
        <f t="shared" si="15"/>
        <v>40</v>
      </c>
      <c r="V158" s="9" t="str">
        <f t="shared" si="16"/>
        <v/>
      </c>
      <c r="W158" s="9">
        <f t="shared" si="17"/>
        <v>80</v>
      </c>
      <c r="X158" s="9">
        <f t="shared" si="18"/>
        <v>50</v>
      </c>
      <c r="Y158" s="9" t="str">
        <f t="shared" si="19"/>
        <v/>
      </c>
      <c r="Z158" s="9">
        <f t="shared" si="20"/>
        <v>90</v>
      </c>
      <c r="AA158" s="3" t="s">
        <v>460</v>
      </c>
      <c r="AB158" s="3" t="s">
        <v>458</v>
      </c>
    </row>
    <row r="159" spans="1:28" ht="76" customHeight="1">
      <c r="A159" s="6" t="s">
        <v>87</v>
      </c>
      <c r="B159" s="3" t="s">
        <v>187</v>
      </c>
      <c r="C159" s="3" t="s">
        <v>461</v>
      </c>
      <c r="D159" s="13" t="s">
        <v>462</v>
      </c>
      <c r="E159" s="8">
        <v>1</v>
      </c>
      <c r="F159" s="12" t="str">
        <f t="shared" si="14"/>
        <v>Ø22 × 102</v>
      </c>
      <c r="G159" s="3" t="s">
        <v>447</v>
      </c>
      <c r="H159" s="3" t="s">
        <v>448</v>
      </c>
      <c r="I159" s="3" t="s">
        <v>463</v>
      </c>
      <c r="J159" s="3" t="s">
        <v>449</v>
      </c>
      <c r="K159" s="3" t="s">
        <v>29</v>
      </c>
      <c r="L159" s="10">
        <v>20</v>
      </c>
      <c r="M159" s="15">
        <v>20</v>
      </c>
      <c r="N159" s="10">
        <v>100</v>
      </c>
      <c r="O159" s="11">
        <v>0</v>
      </c>
      <c r="P159" s="10">
        <v>0</v>
      </c>
      <c r="Q159" s="10">
        <v>0</v>
      </c>
      <c r="R159" s="10">
        <v>0</v>
      </c>
      <c r="S159" s="10">
        <v>1</v>
      </c>
      <c r="T159" s="10">
        <v>1</v>
      </c>
      <c r="U159" s="9">
        <f t="shared" si="15"/>
        <v>20</v>
      </c>
      <c r="V159" s="9" t="str">
        <f t="shared" si="16"/>
        <v/>
      </c>
      <c r="W159" s="9">
        <f t="shared" si="17"/>
        <v>100</v>
      </c>
      <c r="X159" s="9">
        <f t="shared" si="18"/>
        <v>22</v>
      </c>
      <c r="Y159" s="9" t="str">
        <f t="shared" si="19"/>
        <v/>
      </c>
      <c r="Z159" s="9">
        <f t="shared" si="20"/>
        <v>102</v>
      </c>
      <c r="AA159" s="3" t="s">
        <v>464</v>
      </c>
      <c r="AB159" s="3" t="s">
        <v>465</v>
      </c>
    </row>
    <row r="160" spans="1:28" ht="76" customHeight="1">
      <c r="A160" s="6" t="s">
        <v>87</v>
      </c>
      <c r="B160" s="3" t="s">
        <v>199</v>
      </c>
      <c r="C160" s="3" t="s">
        <v>446</v>
      </c>
      <c r="D160" s="14" t="s">
        <v>196</v>
      </c>
      <c r="E160" s="8">
        <v>1</v>
      </c>
      <c r="F160" s="12" t="str">
        <f t="shared" si="14"/>
        <v>Ø110 × 70</v>
      </c>
      <c r="G160" s="3" t="s">
        <v>447</v>
      </c>
      <c r="H160" s="3" t="s">
        <v>448</v>
      </c>
      <c r="I160" s="3" t="str">
        <f>'Quantity grades'!G72</f>
        <v>A2 / D2</v>
      </c>
      <c r="J160" s="3" t="s">
        <v>449</v>
      </c>
      <c r="K160" s="3" t="s">
        <v>29</v>
      </c>
      <c r="L160" s="10">
        <v>40</v>
      </c>
      <c r="M160" s="15">
        <v>40</v>
      </c>
      <c r="N160" s="10">
        <v>50</v>
      </c>
      <c r="O160" s="11">
        <v>0</v>
      </c>
      <c r="P160" s="10">
        <v>30</v>
      </c>
      <c r="Q160" s="10">
        <v>30</v>
      </c>
      <c r="R160" s="10">
        <v>10</v>
      </c>
      <c r="S160" s="10">
        <v>3</v>
      </c>
      <c r="T160" s="10">
        <v>5</v>
      </c>
      <c r="U160" s="9">
        <f t="shared" si="15"/>
        <v>100</v>
      </c>
      <c r="V160" s="9" t="str">
        <f t="shared" si="16"/>
        <v/>
      </c>
      <c r="W160" s="9">
        <f t="shared" si="17"/>
        <v>60</v>
      </c>
      <c r="X160" s="9">
        <f t="shared" si="18"/>
        <v>110</v>
      </c>
      <c r="Y160" s="9" t="str">
        <f t="shared" si="19"/>
        <v/>
      </c>
      <c r="Z160" s="9">
        <f t="shared" si="20"/>
        <v>70</v>
      </c>
      <c r="AA160" s="3" t="s">
        <v>466</v>
      </c>
      <c r="AB160" s="3" t="s">
        <v>451</v>
      </c>
    </row>
    <row r="161" spans="1:28" ht="76" customHeight="1">
      <c r="A161" s="6" t="s">
        <v>87</v>
      </c>
      <c r="B161" s="3" t="s">
        <v>199</v>
      </c>
      <c r="C161" s="3" t="s">
        <v>452</v>
      </c>
      <c r="D161" s="13" t="s">
        <v>453</v>
      </c>
      <c r="E161" s="8">
        <v>1</v>
      </c>
      <c r="F161" s="12" t="str">
        <f t="shared" si="14"/>
        <v>Ø50 × 70</v>
      </c>
      <c r="G161" s="3" t="s">
        <v>447</v>
      </c>
      <c r="H161" s="3" t="s">
        <v>448</v>
      </c>
      <c r="I161" s="3" t="str">
        <f>'Quantity grades'!G72</f>
        <v>A2 / D2</v>
      </c>
      <c r="J161" s="3" t="s">
        <v>449</v>
      </c>
      <c r="K161" s="3" t="s">
        <v>29</v>
      </c>
      <c r="L161" s="10">
        <v>40</v>
      </c>
      <c r="M161" s="15">
        <v>40</v>
      </c>
      <c r="N161" s="10">
        <v>40</v>
      </c>
      <c r="O161" s="11">
        <v>0</v>
      </c>
      <c r="P161" s="10">
        <v>0</v>
      </c>
      <c r="Q161" s="10">
        <v>0</v>
      </c>
      <c r="R161" s="10">
        <v>20</v>
      </c>
      <c r="S161" s="10">
        <v>3</v>
      </c>
      <c r="T161" s="10">
        <v>5</v>
      </c>
      <c r="U161" s="9">
        <f t="shared" si="15"/>
        <v>40</v>
      </c>
      <c r="V161" s="9" t="str">
        <f t="shared" si="16"/>
        <v/>
      </c>
      <c r="W161" s="9">
        <f t="shared" si="17"/>
        <v>60</v>
      </c>
      <c r="X161" s="9">
        <f t="shared" si="18"/>
        <v>50</v>
      </c>
      <c r="Y161" s="9" t="str">
        <f t="shared" si="19"/>
        <v/>
      </c>
      <c r="Z161" s="9">
        <f t="shared" si="20"/>
        <v>70</v>
      </c>
      <c r="AA161" s="3" t="s">
        <v>467</v>
      </c>
      <c r="AB161" s="3" t="s">
        <v>455</v>
      </c>
    </row>
    <row r="162" spans="1:28" ht="76" customHeight="1">
      <c r="A162" s="6" t="s">
        <v>87</v>
      </c>
      <c r="B162" s="3" t="s">
        <v>199</v>
      </c>
      <c r="C162" s="3" t="s">
        <v>456</v>
      </c>
      <c r="D162" s="13" t="s">
        <v>453</v>
      </c>
      <c r="E162" s="8">
        <v>1</v>
      </c>
      <c r="F162" s="12" t="str">
        <f t="shared" si="14"/>
        <v>Ø40 × 90</v>
      </c>
      <c r="G162" s="3" t="s">
        <v>447</v>
      </c>
      <c r="H162" s="3" t="s">
        <v>448</v>
      </c>
      <c r="I162" s="3" t="str">
        <f>'Quantity grades'!G72</f>
        <v>A2 / D2</v>
      </c>
      <c r="J162" s="3" t="s">
        <v>449</v>
      </c>
      <c r="K162" s="3" t="s">
        <v>29</v>
      </c>
      <c r="L162" s="10">
        <v>30</v>
      </c>
      <c r="M162" s="15">
        <v>30</v>
      </c>
      <c r="N162" s="10">
        <v>60</v>
      </c>
      <c r="O162" s="11">
        <v>0</v>
      </c>
      <c r="P162" s="10">
        <v>0</v>
      </c>
      <c r="Q162" s="10">
        <v>0</v>
      </c>
      <c r="R162" s="10">
        <v>20</v>
      </c>
      <c r="S162" s="10">
        <v>3</v>
      </c>
      <c r="T162" s="10">
        <v>5</v>
      </c>
      <c r="U162" s="9">
        <f t="shared" si="15"/>
        <v>30</v>
      </c>
      <c r="V162" s="9" t="str">
        <f t="shared" si="16"/>
        <v/>
      </c>
      <c r="W162" s="9">
        <f t="shared" si="17"/>
        <v>80</v>
      </c>
      <c r="X162" s="9">
        <f t="shared" si="18"/>
        <v>40</v>
      </c>
      <c r="Y162" s="9" t="str">
        <f t="shared" si="19"/>
        <v/>
      </c>
      <c r="Z162" s="9">
        <f t="shared" si="20"/>
        <v>90</v>
      </c>
      <c r="AA162" s="3" t="s">
        <v>468</v>
      </c>
      <c r="AB162" s="3" t="s">
        <v>458</v>
      </c>
    </row>
    <row r="163" spans="1:28" ht="76" customHeight="1">
      <c r="A163" s="6" t="s">
        <v>87</v>
      </c>
      <c r="B163" s="3" t="s">
        <v>199</v>
      </c>
      <c r="C163" s="3" t="s">
        <v>459</v>
      </c>
      <c r="D163" s="13" t="s">
        <v>453</v>
      </c>
      <c r="E163" s="8">
        <v>1</v>
      </c>
      <c r="F163" s="12" t="str">
        <f t="shared" si="14"/>
        <v>Ø50 × 90</v>
      </c>
      <c r="G163" s="3" t="s">
        <v>447</v>
      </c>
      <c r="H163" s="3" t="s">
        <v>448</v>
      </c>
      <c r="I163" s="3" t="str">
        <f>'Quantity grades'!G72</f>
        <v>A2 / D2</v>
      </c>
      <c r="J163" s="3" t="s">
        <v>449</v>
      </c>
      <c r="K163" s="3" t="s">
        <v>29</v>
      </c>
      <c r="L163" s="10">
        <v>40</v>
      </c>
      <c r="M163" s="15">
        <v>40</v>
      </c>
      <c r="N163" s="10">
        <v>60</v>
      </c>
      <c r="O163" s="11">
        <v>0</v>
      </c>
      <c r="P163" s="10">
        <v>0</v>
      </c>
      <c r="Q163" s="10">
        <v>0</v>
      </c>
      <c r="R163" s="10">
        <v>20</v>
      </c>
      <c r="S163" s="10">
        <v>3</v>
      </c>
      <c r="T163" s="10">
        <v>5</v>
      </c>
      <c r="U163" s="9">
        <f t="shared" si="15"/>
        <v>40</v>
      </c>
      <c r="V163" s="9" t="str">
        <f t="shared" si="16"/>
        <v/>
      </c>
      <c r="W163" s="9">
        <f t="shared" si="17"/>
        <v>80</v>
      </c>
      <c r="X163" s="9">
        <f t="shared" si="18"/>
        <v>50</v>
      </c>
      <c r="Y163" s="9" t="str">
        <f t="shared" si="19"/>
        <v/>
      </c>
      <c r="Z163" s="9">
        <f t="shared" si="20"/>
        <v>90</v>
      </c>
      <c r="AA163" s="3" t="s">
        <v>469</v>
      </c>
      <c r="AB163" s="3" t="s">
        <v>458</v>
      </c>
    </row>
    <row r="164" spans="1:28" ht="76" customHeight="1">
      <c r="A164" s="6" t="s">
        <v>87</v>
      </c>
      <c r="B164" s="3" t="s">
        <v>199</v>
      </c>
      <c r="C164" s="3" t="s">
        <v>461</v>
      </c>
      <c r="D164" s="13" t="s">
        <v>462</v>
      </c>
      <c r="E164" s="8">
        <v>1</v>
      </c>
      <c r="F164" s="12" t="str">
        <f t="shared" si="14"/>
        <v>Ø22 × 102</v>
      </c>
      <c r="G164" s="3" t="s">
        <v>447</v>
      </c>
      <c r="H164" s="3" t="s">
        <v>448</v>
      </c>
      <c r="I164" s="3" t="s">
        <v>463</v>
      </c>
      <c r="J164" s="3" t="s">
        <v>449</v>
      </c>
      <c r="K164" s="3" t="s">
        <v>29</v>
      </c>
      <c r="L164" s="10">
        <v>20</v>
      </c>
      <c r="M164" s="15">
        <v>20</v>
      </c>
      <c r="N164" s="10">
        <v>100</v>
      </c>
      <c r="O164" s="11">
        <v>0</v>
      </c>
      <c r="P164" s="10">
        <v>0</v>
      </c>
      <c r="Q164" s="10">
        <v>0</v>
      </c>
      <c r="R164" s="10">
        <v>0</v>
      </c>
      <c r="S164" s="10">
        <v>1</v>
      </c>
      <c r="T164" s="10">
        <v>1</v>
      </c>
      <c r="U164" s="9">
        <f t="shared" si="15"/>
        <v>20</v>
      </c>
      <c r="V164" s="9" t="str">
        <f t="shared" si="16"/>
        <v/>
      </c>
      <c r="W164" s="9">
        <f t="shared" si="17"/>
        <v>100</v>
      </c>
      <c r="X164" s="9">
        <f t="shared" si="18"/>
        <v>22</v>
      </c>
      <c r="Y164" s="9" t="str">
        <f t="shared" si="19"/>
        <v/>
      </c>
      <c r="Z164" s="9">
        <f t="shared" si="20"/>
        <v>102</v>
      </c>
      <c r="AA164" s="3" t="s">
        <v>470</v>
      </c>
      <c r="AB164" s="3" t="s">
        <v>465</v>
      </c>
    </row>
    <row r="165" spans="1:28" ht="76" customHeight="1">
      <c r="A165" s="6" t="s">
        <v>87</v>
      </c>
      <c r="B165" s="3" t="s">
        <v>202</v>
      </c>
      <c r="C165" s="3" t="s">
        <v>446</v>
      </c>
      <c r="D165" s="14" t="s">
        <v>196</v>
      </c>
      <c r="E165" s="8">
        <v>1</v>
      </c>
      <c r="F165" s="12" t="str">
        <f t="shared" si="14"/>
        <v>Ø110 × 70</v>
      </c>
      <c r="G165" s="3" t="s">
        <v>447</v>
      </c>
      <c r="H165" s="3" t="s">
        <v>448</v>
      </c>
      <c r="I165" s="3" t="str">
        <f>'Quantity grades'!G73</f>
        <v>D2 / M2; carbide if powder demands</v>
      </c>
      <c r="J165" s="3" t="s">
        <v>449</v>
      </c>
      <c r="K165" s="3" t="s">
        <v>29</v>
      </c>
      <c r="L165" s="10">
        <v>40</v>
      </c>
      <c r="M165" s="15">
        <v>40</v>
      </c>
      <c r="N165" s="10">
        <v>50</v>
      </c>
      <c r="O165" s="11">
        <v>0</v>
      </c>
      <c r="P165" s="10">
        <v>30</v>
      </c>
      <c r="Q165" s="10">
        <v>30</v>
      </c>
      <c r="R165" s="10">
        <v>10</v>
      </c>
      <c r="S165" s="10">
        <v>3</v>
      </c>
      <c r="T165" s="10">
        <v>5</v>
      </c>
      <c r="U165" s="9">
        <f t="shared" si="15"/>
        <v>100</v>
      </c>
      <c r="V165" s="9" t="str">
        <f t="shared" si="16"/>
        <v/>
      </c>
      <c r="W165" s="9">
        <f t="shared" si="17"/>
        <v>60</v>
      </c>
      <c r="X165" s="9">
        <f t="shared" si="18"/>
        <v>110</v>
      </c>
      <c r="Y165" s="9" t="str">
        <f t="shared" si="19"/>
        <v/>
      </c>
      <c r="Z165" s="9">
        <f t="shared" si="20"/>
        <v>70</v>
      </c>
      <c r="AA165" s="3" t="s">
        <v>471</v>
      </c>
      <c r="AB165" s="3" t="s">
        <v>451</v>
      </c>
    </row>
    <row r="166" spans="1:28" ht="76" customHeight="1">
      <c r="A166" s="6" t="s">
        <v>87</v>
      </c>
      <c r="B166" s="3" t="s">
        <v>202</v>
      </c>
      <c r="C166" s="3" t="s">
        <v>452</v>
      </c>
      <c r="D166" s="13" t="s">
        <v>453</v>
      </c>
      <c r="E166" s="8">
        <v>1</v>
      </c>
      <c r="F166" s="12" t="str">
        <f t="shared" si="14"/>
        <v>Ø50 × 70</v>
      </c>
      <c r="G166" s="3" t="s">
        <v>447</v>
      </c>
      <c r="H166" s="3" t="s">
        <v>448</v>
      </c>
      <c r="I166" s="3" t="str">
        <f>'Quantity grades'!G73</f>
        <v>D2 / M2; carbide if powder demands</v>
      </c>
      <c r="J166" s="3" t="s">
        <v>449</v>
      </c>
      <c r="K166" s="3" t="s">
        <v>29</v>
      </c>
      <c r="L166" s="10">
        <v>40</v>
      </c>
      <c r="M166" s="15">
        <v>40</v>
      </c>
      <c r="N166" s="10">
        <v>40</v>
      </c>
      <c r="O166" s="11">
        <v>0</v>
      </c>
      <c r="P166" s="10">
        <v>0</v>
      </c>
      <c r="Q166" s="10">
        <v>0</v>
      </c>
      <c r="R166" s="10">
        <v>20</v>
      </c>
      <c r="S166" s="10">
        <v>3</v>
      </c>
      <c r="T166" s="10">
        <v>5</v>
      </c>
      <c r="U166" s="9">
        <f t="shared" si="15"/>
        <v>40</v>
      </c>
      <c r="V166" s="9" t="str">
        <f t="shared" si="16"/>
        <v/>
      </c>
      <c r="W166" s="9">
        <f t="shared" si="17"/>
        <v>60</v>
      </c>
      <c r="X166" s="9">
        <f t="shared" si="18"/>
        <v>50</v>
      </c>
      <c r="Y166" s="9" t="str">
        <f t="shared" si="19"/>
        <v/>
      </c>
      <c r="Z166" s="9">
        <f t="shared" si="20"/>
        <v>70</v>
      </c>
      <c r="AA166" s="3" t="s">
        <v>472</v>
      </c>
      <c r="AB166" s="3" t="s">
        <v>455</v>
      </c>
    </row>
    <row r="167" spans="1:28" ht="76" customHeight="1">
      <c r="A167" s="6" t="s">
        <v>87</v>
      </c>
      <c r="B167" s="3" t="s">
        <v>202</v>
      </c>
      <c r="C167" s="3" t="s">
        <v>456</v>
      </c>
      <c r="D167" s="13" t="s">
        <v>453</v>
      </c>
      <c r="E167" s="8">
        <v>1</v>
      </c>
      <c r="F167" s="12" t="str">
        <f t="shared" si="14"/>
        <v>Ø40 × 90</v>
      </c>
      <c r="G167" s="3" t="s">
        <v>447</v>
      </c>
      <c r="H167" s="3" t="s">
        <v>448</v>
      </c>
      <c r="I167" s="3" t="str">
        <f>'Quantity grades'!G73</f>
        <v>D2 / M2; carbide if powder demands</v>
      </c>
      <c r="J167" s="3" t="s">
        <v>449</v>
      </c>
      <c r="K167" s="3" t="s">
        <v>29</v>
      </c>
      <c r="L167" s="10">
        <v>30</v>
      </c>
      <c r="M167" s="15">
        <v>30</v>
      </c>
      <c r="N167" s="10">
        <v>60</v>
      </c>
      <c r="O167" s="11">
        <v>0</v>
      </c>
      <c r="P167" s="10">
        <v>0</v>
      </c>
      <c r="Q167" s="10">
        <v>0</v>
      </c>
      <c r="R167" s="10">
        <v>20</v>
      </c>
      <c r="S167" s="10">
        <v>3</v>
      </c>
      <c r="T167" s="10">
        <v>5</v>
      </c>
      <c r="U167" s="9">
        <f t="shared" si="15"/>
        <v>30</v>
      </c>
      <c r="V167" s="9" t="str">
        <f t="shared" si="16"/>
        <v/>
      </c>
      <c r="W167" s="9">
        <f t="shared" si="17"/>
        <v>80</v>
      </c>
      <c r="X167" s="9">
        <f t="shared" si="18"/>
        <v>40</v>
      </c>
      <c r="Y167" s="9" t="str">
        <f t="shared" si="19"/>
        <v/>
      </c>
      <c r="Z167" s="9">
        <f t="shared" si="20"/>
        <v>90</v>
      </c>
      <c r="AA167" s="3" t="s">
        <v>473</v>
      </c>
      <c r="AB167" s="3" t="s">
        <v>458</v>
      </c>
    </row>
    <row r="168" spans="1:28" ht="76" customHeight="1">
      <c r="A168" s="6" t="s">
        <v>87</v>
      </c>
      <c r="B168" s="3" t="s">
        <v>202</v>
      </c>
      <c r="C168" s="3" t="s">
        <v>459</v>
      </c>
      <c r="D168" s="13" t="s">
        <v>453</v>
      </c>
      <c r="E168" s="8">
        <v>1</v>
      </c>
      <c r="F168" s="12" t="str">
        <f t="shared" si="14"/>
        <v>Ø50 × 90</v>
      </c>
      <c r="G168" s="3" t="s">
        <v>447</v>
      </c>
      <c r="H168" s="3" t="s">
        <v>448</v>
      </c>
      <c r="I168" s="3" t="str">
        <f>'Quantity grades'!G73</f>
        <v>D2 / M2; carbide if powder demands</v>
      </c>
      <c r="J168" s="3" t="s">
        <v>449</v>
      </c>
      <c r="K168" s="3" t="s">
        <v>29</v>
      </c>
      <c r="L168" s="10">
        <v>40</v>
      </c>
      <c r="M168" s="15">
        <v>40</v>
      </c>
      <c r="N168" s="10">
        <v>60</v>
      </c>
      <c r="O168" s="11">
        <v>0</v>
      </c>
      <c r="P168" s="10">
        <v>0</v>
      </c>
      <c r="Q168" s="10">
        <v>0</v>
      </c>
      <c r="R168" s="10">
        <v>20</v>
      </c>
      <c r="S168" s="10">
        <v>3</v>
      </c>
      <c r="T168" s="10">
        <v>5</v>
      </c>
      <c r="U168" s="9">
        <f t="shared" si="15"/>
        <v>40</v>
      </c>
      <c r="V168" s="9" t="str">
        <f t="shared" si="16"/>
        <v/>
      </c>
      <c r="W168" s="9">
        <f t="shared" si="17"/>
        <v>80</v>
      </c>
      <c r="X168" s="9">
        <f t="shared" si="18"/>
        <v>50</v>
      </c>
      <c r="Y168" s="9" t="str">
        <f t="shared" si="19"/>
        <v/>
      </c>
      <c r="Z168" s="9">
        <f t="shared" si="20"/>
        <v>90</v>
      </c>
      <c r="AA168" s="3" t="s">
        <v>474</v>
      </c>
      <c r="AB168" s="3" t="s">
        <v>458</v>
      </c>
    </row>
    <row r="169" spans="1:28" ht="76" customHeight="1">
      <c r="A169" s="6" t="s">
        <v>87</v>
      </c>
      <c r="B169" s="3" t="s">
        <v>202</v>
      </c>
      <c r="C169" s="3" t="s">
        <v>461</v>
      </c>
      <c r="D169" s="13" t="s">
        <v>462</v>
      </c>
      <c r="E169" s="8">
        <v>1</v>
      </c>
      <c r="F169" s="12" t="str">
        <f t="shared" si="14"/>
        <v>Ø22 × 102</v>
      </c>
      <c r="G169" s="3" t="s">
        <v>447</v>
      </c>
      <c r="H169" s="3" t="s">
        <v>448</v>
      </c>
      <c r="I169" s="3" t="s">
        <v>463</v>
      </c>
      <c r="J169" s="3" t="s">
        <v>449</v>
      </c>
      <c r="K169" s="3" t="s">
        <v>29</v>
      </c>
      <c r="L169" s="10">
        <v>20</v>
      </c>
      <c r="M169" s="15">
        <v>20</v>
      </c>
      <c r="N169" s="10">
        <v>100</v>
      </c>
      <c r="O169" s="11">
        <v>0</v>
      </c>
      <c r="P169" s="10">
        <v>0</v>
      </c>
      <c r="Q169" s="10">
        <v>0</v>
      </c>
      <c r="R169" s="10">
        <v>0</v>
      </c>
      <c r="S169" s="10">
        <v>1</v>
      </c>
      <c r="T169" s="10">
        <v>1</v>
      </c>
      <c r="U169" s="9">
        <f t="shared" si="15"/>
        <v>20</v>
      </c>
      <c r="V169" s="9" t="str">
        <f t="shared" si="16"/>
        <v/>
      </c>
      <c r="W169" s="9">
        <f t="shared" si="17"/>
        <v>100</v>
      </c>
      <c r="X169" s="9">
        <f t="shared" si="18"/>
        <v>22</v>
      </c>
      <c r="Y169" s="9" t="str">
        <f t="shared" si="19"/>
        <v/>
      </c>
      <c r="Z169" s="9">
        <f t="shared" si="20"/>
        <v>102</v>
      </c>
      <c r="AA169" s="3" t="s">
        <v>475</v>
      </c>
      <c r="AB169" s="3" t="s">
        <v>465</v>
      </c>
    </row>
    <row r="170" spans="1:28" ht="76" customHeight="1">
      <c r="A170" s="6" t="s">
        <v>87</v>
      </c>
      <c r="B170" s="3" t="s">
        <v>205</v>
      </c>
      <c r="C170" s="3" t="s">
        <v>446</v>
      </c>
      <c r="D170" s="14" t="s">
        <v>196</v>
      </c>
      <c r="E170" s="8">
        <v>1</v>
      </c>
      <c r="F170" s="12" t="str">
        <f t="shared" si="14"/>
        <v>Ø110 × 70</v>
      </c>
      <c r="G170" s="3" t="s">
        <v>447</v>
      </c>
      <c r="H170" s="3" t="s">
        <v>448</v>
      </c>
      <c r="I170" s="3" t="str">
        <f>'Quantity grades'!G74</f>
        <v>D2 / M2 with WC-Co inserts</v>
      </c>
      <c r="J170" s="3" t="s">
        <v>449</v>
      </c>
      <c r="K170" s="3" t="s">
        <v>29</v>
      </c>
      <c r="L170" s="10">
        <v>40</v>
      </c>
      <c r="M170" s="15">
        <v>40</v>
      </c>
      <c r="N170" s="10">
        <v>50</v>
      </c>
      <c r="O170" s="11">
        <v>0</v>
      </c>
      <c r="P170" s="10">
        <v>30</v>
      </c>
      <c r="Q170" s="10">
        <v>30</v>
      </c>
      <c r="R170" s="10">
        <v>10</v>
      </c>
      <c r="S170" s="10">
        <v>3</v>
      </c>
      <c r="T170" s="10">
        <v>5</v>
      </c>
      <c r="U170" s="9">
        <f t="shared" si="15"/>
        <v>100</v>
      </c>
      <c r="V170" s="9" t="str">
        <f t="shared" si="16"/>
        <v/>
      </c>
      <c r="W170" s="9">
        <f t="shared" si="17"/>
        <v>60</v>
      </c>
      <c r="X170" s="9">
        <f t="shared" si="18"/>
        <v>110</v>
      </c>
      <c r="Y170" s="9" t="str">
        <f t="shared" si="19"/>
        <v/>
      </c>
      <c r="Z170" s="9">
        <f t="shared" si="20"/>
        <v>70</v>
      </c>
      <c r="AA170" s="3" t="s">
        <v>476</v>
      </c>
      <c r="AB170" s="3" t="s">
        <v>451</v>
      </c>
    </row>
    <row r="171" spans="1:28" ht="76" customHeight="1">
      <c r="A171" s="6" t="s">
        <v>87</v>
      </c>
      <c r="B171" s="3" t="s">
        <v>205</v>
      </c>
      <c r="C171" s="3" t="s">
        <v>452</v>
      </c>
      <c r="D171" s="13" t="s">
        <v>453</v>
      </c>
      <c r="E171" s="8">
        <v>1</v>
      </c>
      <c r="F171" s="12" t="str">
        <f t="shared" si="14"/>
        <v>Ø50 × 70</v>
      </c>
      <c r="G171" s="3" t="s">
        <v>447</v>
      </c>
      <c r="H171" s="3" t="s">
        <v>448</v>
      </c>
      <c r="I171" s="3" t="str">
        <f>'Quantity grades'!G74</f>
        <v>D2 / M2 with WC-Co inserts</v>
      </c>
      <c r="J171" s="3" t="s">
        <v>449</v>
      </c>
      <c r="K171" s="3" t="s">
        <v>29</v>
      </c>
      <c r="L171" s="10">
        <v>40</v>
      </c>
      <c r="M171" s="15">
        <v>40</v>
      </c>
      <c r="N171" s="10">
        <v>40</v>
      </c>
      <c r="O171" s="11">
        <v>0</v>
      </c>
      <c r="P171" s="10">
        <v>0</v>
      </c>
      <c r="Q171" s="10">
        <v>0</v>
      </c>
      <c r="R171" s="10">
        <v>20</v>
      </c>
      <c r="S171" s="10">
        <v>3</v>
      </c>
      <c r="T171" s="10">
        <v>5</v>
      </c>
      <c r="U171" s="9">
        <f t="shared" si="15"/>
        <v>40</v>
      </c>
      <c r="V171" s="9" t="str">
        <f t="shared" si="16"/>
        <v/>
      </c>
      <c r="W171" s="9">
        <f t="shared" si="17"/>
        <v>60</v>
      </c>
      <c r="X171" s="9">
        <f t="shared" si="18"/>
        <v>50</v>
      </c>
      <c r="Y171" s="9" t="str">
        <f t="shared" si="19"/>
        <v/>
      </c>
      <c r="Z171" s="9">
        <f t="shared" si="20"/>
        <v>70</v>
      </c>
      <c r="AA171" s="3" t="s">
        <v>477</v>
      </c>
      <c r="AB171" s="3" t="s">
        <v>455</v>
      </c>
    </row>
    <row r="172" spans="1:28" ht="76" customHeight="1">
      <c r="A172" s="6" t="s">
        <v>87</v>
      </c>
      <c r="B172" s="3" t="s">
        <v>205</v>
      </c>
      <c r="C172" s="3" t="s">
        <v>456</v>
      </c>
      <c r="D172" s="13" t="s">
        <v>453</v>
      </c>
      <c r="E172" s="8">
        <v>1</v>
      </c>
      <c r="F172" s="12" t="str">
        <f t="shared" si="14"/>
        <v>Ø40 × 90</v>
      </c>
      <c r="G172" s="3" t="s">
        <v>447</v>
      </c>
      <c r="H172" s="3" t="s">
        <v>448</v>
      </c>
      <c r="I172" s="3" t="str">
        <f>'Quantity grades'!G74</f>
        <v>D2 / M2 with WC-Co inserts</v>
      </c>
      <c r="J172" s="3" t="s">
        <v>449</v>
      </c>
      <c r="K172" s="3" t="s">
        <v>29</v>
      </c>
      <c r="L172" s="10">
        <v>30</v>
      </c>
      <c r="M172" s="15">
        <v>30</v>
      </c>
      <c r="N172" s="10">
        <v>60</v>
      </c>
      <c r="O172" s="11">
        <v>0</v>
      </c>
      <c r="P172" s="10">
        <v>0</v>
      </c>
      <c r="Q172" s="10">
        <v>0</v>
      </c>
      <c r="R172" s="10">
        <v>20</v>
      </c>
      <c r="S172" s="10">
        <v>3</v>
      </c>
      <c r="T172" s="10">
        <v>5</v>
      </c>
      <c r="U172" s="9">
        <f t="shared" si="15"/>
        <v>30</v>
      </c>
      <c r="V172" s="9" t="str">
        <f t="shared" si="16"/>
        <v/>
      </c>
      <c r="W172" s="9">
        <f t="shared" si="17"/>
        <v>80</v>
      </c>
      <c r="X172" s="9">
        <f t="shared" si="18"/>
        <v>40</v>
      </c>
      <c r="Y172" s="9" t="str">
        <f t="shared" si="19"/>
        <v/>
      </c>
      <c r="Z172" s="9">
        <f t="shared" si="20"/>
        <v>90</v>
      </c>
      <c r="AA172" s="3" t="s">
        <v>478</v>
      </c>
      <c r="AB172" s="3" t="s">
        <v>458</v>
      </c>
    </row>
    <row r="173" spans="1:28" ht="76" customHeight="1">
      <c r="A173" s="6" t="s">
        <v>87</v>
      </c>
      <c r="B173" s="3" t="s">
        <v>205</v>
      </c>
      <c r="C173" s="3" t="s">
        <v>459</v>
      </c>
      <c r="D173" s="13" t="s">
        <v>453</v>
      </c>
      <c r="E173" s="8">
        <v>1</v>
      </c>
      <c r="F173" s="12" t="str">
        <f t="shared" si="14"/>
        <v>Ø50 × 90</v>
      </c>
      <c r="G173" s="3" t="s">
        <v>447</v>
      </c>
      <c r="H173" s="3" t="s">
        <v>448</v>
      </c>
      <c r="I173" s="3" t="str">
        <f>'Quantity grades'!G74</f>
        <v>D2 / M2 with WC-Co inserts</v>
      </c>
      <c r="J173" s="3" t="s">
        <v>449</v>
      </c>
      <c r="K173" s="3" t="s">
        <v>29</v>
      </c>
      <c r="L173" s="10">
        <v>40</v>
      </c>
      <c r="M173" s="15">
        <v>40</v>
      </c>
      <c r="N173" s="10">
        <v>60</v>
      </c>
      <c r="O173" s="11">
        <v>0</v>
      </c>
      <c r="P173" s="10">
        <v>0</v>
      </c>
      <c r="Q173" s="10">
        <v>0</v>
      </c>
      <c r="R173" s="10">
        <v>20</v>
      </c>
      <c r="S173" s="10">
        <v>3</v>
      </c>
      <c r="T173" s="10">
        <v>5</v>
      </c>
      <c r="U173" s="9">
        <f t="shared" si="15"/>
        <v>40</v>
      </c>
      <c r="V173" s="9" t="str">
        <f t="shared" si="16"/>
        <v/>
      </c>
      <c r="W173" s="9">
        <f t="shared" si="17"/>
        <v>80</v>
      </c>
      <c r="X173" s="9">
        <f t="shared" si="18"/>
        <v>50</v>
      </c>
      <c r="Y173" s="9" t="str">
        <f t="shared" si="19"/>
        <v/>
      </c>
      <c r="Z173" s="9">
        <f t="shared" si="20"/>
        <v>90</v>
      </c>
      <c r="AA173" s="3" t="s">
        <v>479</v>
      </c>
      <c r="AB173" s="3" t="s">
        <v>458</v>
      </c>
    </row>
    <row r="174" spans="1:28" ht="76" customHeight="1">
      <c r="A174" s="6" t="s">
        <v>87</v>
      </c>
      <c r="B174" s="3" t="s">
        <v>205</v>
      </c>
      <c r="C174" s="3" t="s">
        <v>461</v>
      </c>
      <c r="D174" s="13" t="s">
        <v>462</v>
      </c>
      <c r="E174" s="8">
        <v>1</v>
      </c>
      <c r="F174" s="12" t="str">
        <f t="shared" si="14"/>
        <v>Ø22 × 102</v>
      </c>
      <c r="G174" s="3" t="s">
        <v>447</v>
      </c>
      <c r="H174" s="3" t="s">
        <v>448</v>
      </c>
      <c r="I174" s="3" t="s">
        <v>463</v>
      </c>
      <c r="J174" s="3" t="s">
        <v>449</v>
      </c>
      <c r="K174" s="3" t="s">
        <v>29</v>
      </c>
      <c r="L174" s="10">
        <v>20</v>
      </c>
      <c r="M174" s="15">
        <v>20</v>
      </c>
      <c r="N174" s="10">
        <v>100</v>
      </c>
      <c r="O174" s="11">
        <v>0</v>
      </c>
      <c r="P174" s="10">
        <v>0</v>
      </c>
      <c r="Q174" s="10">
        <v>0</v>
      </c>
      <c r="R174" s="10">
        <v>0</v>
      </c>
      <c r="S174" s="10">
        <v>1</v>
      </c>
      <c r="T174" s="10">
        <v>1</v>
      </c>
      <c r="U174" s="9">
        <f t="shared" si="15"/>
        <v>20</v>
      </c>
      <c r="V174" s="9" t="str">
        <f t="shared" si="16"/>
        <v/>
      </c>
      <c r="W174" s="9">
        <f t="shared" si="17"/>
        <v>100</v>
      </c>
      <c r="X174" s="9">
        <f t="shared" si="18"/>
        <v>22</v>
      </c>
      <c r="Y174" s="9" t="str">
        <f t="shared" si="19"/>
        <v/>
      </c>
      <c r="Z174" s="9">
        <f t="shared" si="20"/>
        <v>102</v>
      </c>
      <c r="AA174" s="3" t="s">
        <v>480</v>
      </c>
      <c r="AB174" s="3" t="s">
        <v>465</v>
      </c>
    </row>
    <row r="175" spans="1:28" ht="76" customHeight="1">
      <c r="A175" s="6" t="s">
        <v>87</v>
      </c>
      <c r="B175" s="3" t="s">
        <v>208</v>
      </c>
      <c r="C175" s="3" t="s">
        <v>446</v>
      </c>
      <c r="D175" s="14" t="s">
        <v>196</v>
      </c>
      <c r="E175" s="8">
        <v>1</v>
      </c>
      <c r="F175" s="12" t="str">
        <f t="shared" si="14"/>
        <v>Ø110 × 70</v>
      </c>
      <c r="G175" s="3" t="s">
        <v>447</v>
      </c>
      <c r="H175" s="3" t="s">
        <v>448</v>
      </c>
      <c r="I175" s="3" t="str">
        <f>'Quantity grades'!G75</f>
        <v>WC-Co liners; tool steel / PM-steel punches</v>
      </c>
      <c r="J175" s="3" t="s">
        <v>449</v>
      </c>
      <c r="K175" s="3" t="s">
        <v>29</v>
      </c>
      <c r="L175" s="10">
        <v>40</v>
      </c>
      <c r="M175" s="15">
        <v>40</v>
      </c>
      <c r="N175" s="10">
        <v>50</v>
      </c>
      <c r="O175" s="11">
        <v>0</v>
      </c>
      <c r="P175" s="10">
        <v>30</v>
      </c>
      <c r="Q175" s="10">
        <v>30</v>
      </c>
      <c r="R175" s="10">
        <v>10</v>
      </c>
      <c r="S175" s="10">
        <v>3</v>
      </c>
      <c r="T175" s="10">
        <v>5</v>
      </c>
      <c r="U175" s="9">
        <f t="shared" si="15"/>
        <v>100</v>
      </c>
      <c r="V175" s="9" t="str">
        <f t="shared" si="16"/>
        <v/>
      </c>
      <c r="W175" s="9">
        <f t="shared" si="17"/>
        <v>60</v>
      </c>
      <c r="X175" s="9">
        <f t="shared" si="18"/>
        <v>110</v>
      </c>
      <c r="Y175" s="9" t="str">
        <f t="shared" si="19"/>
        <v/>
      </c>
      <c r="Z175" s="9">
        <f t="shared" si="20"/>
        <v>70</v>
      </c>
      <c r="AA175" s="3" t="s">
        <v>481</v>
      </c>
      <c r="AB175" s="3" t="s">
        <v>451</v>
      </c>
    </row>
    <row r="176" spans="1:28" ht="76" customHeight="1">
      <c r="A176" s="6" t="s">
        <v>87</v>
      </c>
      <c r="B176" s="3" t="s">
        <v>208</v>
      </c>
      <c r="C176" s="3" t="s">
        <v>452</v>
      </c>
      <c r="D176" s="13" t="s">
        <v>453</v>
      </c>
      <c r="E176" s="8">
        <v>1</v>
      </c>
      <c r="F176" s="12" t="str">
        <f t="shared" si="14"/>
        <v>Ø50 × 70</v>
      </c>
      <c r="G176" s="3" t="s">
        <v>447</v>
      </c>
      <c r="H176" s="3" t="s">
        <v>448</v>
      </c>
      <c r="I176" s="3" t="str">
        <f>'Quantity grades'!G75</f>
        <v>WC-Co liners; tool steel / PM-steel punches</v>
      </c>
      <c r="J176" s="3" t="s">
        <v>449</v>
      </c>
      <c r="K176" s="3" t="s">
        <v>29</v>
      </c>
      <c r="L176" s="10">
        <v>40</v>
      </c>
      <c r="M176" s="15">
        <v>40</v>
      </c>
      <c r="N176" s="10">
        <v>40</v>
      </c>
      <c r="O176" s="11">
        <v>0</v>
      </c>
      <c r="P176" s="10">
        <v>0</v>
      </c>
      <c r="Q176" s="10">
        <v>0</v>
      </c>
      <c r="R176" s="10">
        <v>20</v>
      </c>
      <c r="S176" s="10">
        <v>3</v>
      </c>
      <c r="T176" s="10">
        <v>5</v>
      </c>
      <c r="U176" s="9">
        <f t="shared" si="15"/>
        <v>40</v>
      </c>
      <c r="V176" s="9" t="str">
        <f t="shared" si="16"/>
        <v/>
      </c>
      <c r="W176" s="9">
        <f t="shared" si="17"/>
        <v>60</v>
      </c>
      <c r="X176" s="9">
        <f t="shared" si="18"/>
        <v>50</v>
      </c>
      <c r="Y176" s="9" t="str">
        <f t="shared" si="19"/>
        <v/>
      </c>
      <c r="Z176" s="9">
        <f t="shared" si="20"/>
        <v>70</v>
      </c>
      <c r="AA176" s="3" t="s">
        <v>482</v>
      </c>
      <c r="AB176" s="3" t="s">
        <v>455</v>
      </c>
    </row>
    <row r="177" spans="1:28" ht="76" customHeight="1">
      <c r="A177" s="6" t="s">
        <v>87</v>
      </c>
      <c r="B177" s="3" t="s">
        <v>208</v>
      </c>
      <c r="C177" s="3" t="s">
        <v>456</v>
      </c>
      <c r="D177" s="13" t="s">
        <v>453</v>
      </c>
      <c r="E177" s="8">
        <v>1</v>
      </c>
      <c r="F177" s="12" t="str">
        <f t="shared" si="14"/>
        <v>Ø40 × 90</v>
      </c>
      <c r="G177" s="3" t="s">
        <v>447</v>
      </c>
      <c r="H177" s="3" t="s">
        <v>448</v>
      </c>
      <c r="I177" s="3" t="str">
        <f>'Quantity grades'!G75</f>
        <v>WC-Co liners; tool steel / PM-steel punches</v>
      </c>
      <c r="J177" s="3" t="s">
        <v>449</v>
      </c>
      <c r="K177" s="3" t="s">
        <v>29</v>
      </c>
      <c r="L177" s="10">
        <v>30</v>
      </c>
      <c r="M177" s="15">
        <v>30</v>
      </c>
      <c r="N177" s="10">
        <v>60</v>
      </c>
      <c r="O177" s="11">
        <v>0</v>
      </c>
      <c r="P177" s="10">
        <v>0</v>
      </c>
      <c r="Q177" s="10">
        <v>0</v>
      </c>
      <c r="R177" s="10">
        <v>20</v>
      </c>
      <c r="S177" s="10">
        <v>3</v>
      </c>
      <c r="T177" s="10">
        <v>5</v>
      </c>
      <c r="U177" s="9">
        <f t="shared" si="15"/>
        <v>30</v>
      </c>
      <c r="V177" s="9" t="str">
        <f t="shared" si="16"/>
        <v/>
      </c>
      <c r="W177" s="9">
        <f t="shared" si="17"/>
        <v>80</v>
      </c>
      <c r="X177" s="9">
        <f t="shared" si="18"/>
        <v>40</v>
      </c>
      <c r="Y177" s="9" t="str">
        <f t="shared" si="19"/>
        <v/>
      </c>
      <c r="Z177" s="9">
        <f t="shared" si="20"/>
        <v>90</v>
      </c>
      <c r="AA177" s="3" t="s">
        <v>483</v>
      </c>
      <c r="AB177" s="3" t="s">
        <v>458</v>
      </c>
    </row>
    <row r="178" spans="1:28" ht="76" customHeight="1">
      <c r="A178" s="6" t="s">
        <v>87</v>
      </c>
      <c r="B178" s="3" t="s">
        <v>208</v>
      </c>
      <c r="C178" s="3" t="s">
        <v>459</v>
      </c>
      <c r="D178" s="13" t="s">
        <v>453</v>
      </c>
      <c r="E178" s="8">
        <v>1</v>
      </c>
      <c r="F178" s="12" t="str">
        <f t="shared" si="14"/>
        <v>Ø50 × 90</v>
      </c>
      <c r="G178" s="3" t="s">
        <v>447</v>
      </c>
      <c r="H178" s="3" t="s">
        <v>448</v>
      </c>
      <c r="I178" s="3" t="str">
        <f>'Quantity grades'!G75</f>
        <v>WC-Co liners; tool steel / PM-steel punches</v>
      </c>
      <c r="J178" s="3" t="s">
        <v>449</v>
      </c>
      <c r="K178" s="3" t="s">
        <v>29</v>
      </c>
      <c r="L178" s="10">
        <v>40</v>
      </c>
      <c r="M178" s="15">
        <v>40</v>
      </c>
      <c r="N178" s="10">
        <v>60</v>
      </c>
      <c r="O178" s="11">
        <v>0</v>
      </c>
      <c r="P178" s="10">
        <v>0</v>
      </c>
      <c r="Q178" s="10">
        <v>0</v>
      </c>
      <c r="R178" s="10">
        <v>20</v>
      </c>
      <c r="S178" s="10">
        <v>3</v>
      </c>
      <c r="T178" s="10">
        <v>5</v>
      </c>
      <c r="U178" s="9">
        <f t="shared" si="15"/>
        <v>40</v>
      </c>
      <c r="V178" s="9" t="str">
        <f t="shared" si="16"/>
        <v/>
      </c>
      <c r="W178" s="9">
        <f t="shared" si="17"/>
        <v>80</v>
      </c>
      <c r="X178" s="9">
        <f t="shared" si="18"/>
        <v>50</v>
      </c>
      <c r="Y178" s="9" t="str">
        <f t="shared" si="19"/>
        <v/>
      </c>
      <c r="Z178" s="9">
        <f t="shared" si="20"/>
        <v>90</v>
      </c>
      <c r="AA178" s="3" t="s">
        <v>484</v>
      </c>
      <c r="AB178" s="3" t="s">
        <v>458</v>
      </c>
    </row>
    <row r="179" spans="1:28" ht="76" customHeight="1">
      <c r="A179" s="6" t="s">
        <v>87</v>
      </c>
      <c r="B179" s="3" t="s">
        <v>208</v>
      </c>
      <c r="C179" s="3" t="s">
        <v>461</v>
      </c>
      <c r="D179" s="13" t="s">
        <v>462</v>
      </c>
      <c r="E179" s="8">
        <v>1</v>
      </c>
      <c r="F179" s="12" t="str">
        <f t="shared" si="14"/>
        <v>Ø22 × 102</v>
      </c>
      <c r="G179" s="3" t="s">
        <v>447</v>
      </c>
      <c r="H179" s="3" t="s">
        <v>448</v>
      </c>
      <c r="I179" s="3" t="s">
        <v>463</v>
      </c>
      <c r="J179" s="3" t="s">
        <v>449</v>
      </c>
      <c r="K179" s="3" t="s">
        <v>29</v>
      </c>
      <c r="L179" s="10">
        <v>20</v>
      </c>
      <c r="M179" s="15">
        <v>20</v>
      </c>
      <c r="N179" s="10">
        <v>100</v>
      </c>
      <c r="O179" s="11">
        <v>0</v>
      </c>
      <c r="P179" s="10">
        <v>0</v>
      </c>
      <c r="Q179" s="10">
        <v>0</v>
      </c>
      <c r="R179" s="10">
        <v>0</v>
      </c>
      <c r="S179" s="10">
        <v>1</v>
      </c>
      <c r="T179" s="10">
        <v>1</v>
      </c>
      <c r="U179" s="9">
        <f t="shared" si="15"/>
        <v>20</v>
      </c>
      <c r="V179" s="9" t="str">
        <f t="shared" si="16"/>
        <v/>
      </c>
      <c r="W179" s="9">
        <f t="shared" si="17"/>
        <v>100</v>
      </c>
      <c r="X179" s="9">
        <f t="shared" si="18"/>
        <v>22</v>
      </c>
      <c r="Y179" s="9" t="str">
        <f t="shared" si="19"/>
        <v/>
      </c>
      <c r="Z179" s="9">
        <f t="shared" si="20"/>
        <v>102</v>
      </c>
      <c r="AA179" s="3" t="s">
        <v>485</v>
      </c>
      <c r="AB179" s="3" t="s">
        <v>465</v>
      </c>
    </row>
    <row r="180" spans="1:28" ht="76" customHeight="1">
      <c r="A180" s="6" t="s">
        <v>87</v>
      </c>
      <c r="B180" s="3" t="s">
        <v>211</v>
      </c>
      <c r="C180" s="3" t="s">
        <v>446</v>
      </c>
      <c r="D180" s="14" t="s">
        <v>196</v>
      </c>
      <c r="E180" s="8">
        <v>1</v>
      </c>
      <c r="F180" s="12" t="str">
        <f t="shared" si="14"/>
        <v>Ø110 × 70</v>
      </c>
      <c r="G180" s="3" t="s">
        <v>447</v>
      </c>
      <c r="H180" s="3" t="s">
        <v>448</v>
      </c>
      <c r="I180" s="3" t="str">
        <f>'Quantity grades'!G76</f>
        <v>WC-Co carbide and PM tool steel</v>
      </c>
      <c r="J180" s="3" t="s">
        <v>449</v>
      </c>
      <c r="K180" s="3" t="s">
        <v>29</v>
      </c>
      <c r="L180" s="10">
        <v>40</v>
      </c>
      <c r="M180" s="15">
        <v>40</v>
      </c>
      <c r="N180" s="10">
        <v>50</v>
      </c>
      <c r="O180" s="11">
        <v>0</v>
      </c>
      <c r="P180" s="10">
        <v>30</v>
      </c>
      <c r="Q180" s="10">
        <v>30</v>
      </c>
      <c r="R180" s="10">
        <v>10</v>
      </c>
      <c r="S180" s="10">
        <v>3</v>
      </c>
      <c r="T180" s="10">
        <v>5</v>
      </c>
      <c r="U180" s="9">
        <f t="shared" si="15"/>
        <v>100</v>
      </c>
      <c r="V180" s="9" t="str">
        <f t="shared" si="16"/>
        <v/>
      </c>
      <c r="W180" s="9">
        <f t="shared" si="17"/>
        <v>60</v>
      </c>
      <c r="X180" s="9">
        <f t="shared" si="18"/>
        <v>110</v>
      </c>
      <c r="Y180" s="9" t="str">
        <f t="shared" si="19"/>
        <v/>
      </c>
      <c r="Z180" s="9">
        <f t="shared" si="20"/>
        <v>70</v>
      </c>
      <c r="AA180" s="3" t="s">
        <v>486</v>
      </c>
      <c r="AB180" s="3" t="s">
        <v>451</v>
      </c>
    </row>
    <row r="181" spans="1:28" ht="76" customHeight="1">
      <c r="A181" s="6" t="s">
        <v>87</v>
      </c>
      <c r="B181" s="3" t="s">
        <v>211</v>
      </c>
      <c r="C181" s="3" t="s">
        <v>452</v>
      </c>
      <c r="D181" s="13" t="s">
        <v>453</v>
      </c>
      <c r="E181" s="8">
        <v>1</v>
      </c>
      <c r="F181" s="12" t="str">
        <f t="shared" si="14"/>
        <v>Ø50 × 70</v>
      </c>
      <c r="G181" s="3" t="s">
        <v>447</v>
      </c>
      <c r="H181" s="3" t="s">
        <v>448</v>
      </c>
      <c r="I181" s="3" t="str">
        <f>'Quantity grades'!G76</f>
        <v>WC-Co carbide and PM tool steel</v>
      </c>
      <c r="J181" s="3" t="s">
        <v>449</v>
      </c>
      <c r="K181" s="3" t="s">
        <v>29</v>
      </c>
      <c r="L181" s="10">
        <v>40</v>
      </c>
      <c r="M181" s="15">
        <v>40</v>
      </c>
      <c r="N181" s="10">
        <v>40</v>
      </c>
      <c r="O181" s="11">
        <v>0</v>
      </c>
      <c r="P181" s="10">
        <v>0</v>
      </c>
      <c r="Q181" s="10">
        <v>0</v>
      </c>
      <c r="R181" s="10">
        <v>20</v>
      </c>
      <c r="S181" s="10">
        <v>3</v>
      </c>
      <c r="T181" s="10">
        <v>5</v>
      </c>
      <c r="U181" s="9">
        <f t="shared" si="15"/>
        <v>40</v>
      </c>
      <c r="V181" s="9" t="str">
        <f t="shared" si="16"/>
        <v/>
      </c>
      <c r="W181" s="9">
        <f t="shared" si="17"/>
        <v>60</v>
      </c>
      <c r="X181" s="9">
        <f t="shared" si="18"/>
        <v>50</v>
      </c>
      <c r="Y181" s="9" t="str">
        <f t="shared" si="19"/>
        <v/>
      </c>
      <c r="Z181" s="9">
        <f t="shared" si="20"/>
        <v>70</v>
      </c>
      <c r="AA181" s="3" t="s">
        <v>487</v>
      </c>
      <c r="AB181" s="3" t="s">
        <v>455</v>
      </c>
    </row>
    <row r="182" spans="1:28" ht="76" customHeight="1">
      <c r="A182" s="6" t="s">
        <v>87</v>
      </c>
      <c r="B182" s="3" t="s">
        <v>211</v>
      </c>
      <c r="C182" s="3" t="s">
        <v>456</v>
      </c>
      <c r="D182" s="13" t="s">
        <v>453</v>
      </c>
      <c r="E182" s="8">
        <v>1</v>
      </c>
      <c r="F182" s="12" t="str">
        <f t="shared" si="14"/>
        <v>Ø40 × 90</v>
      </c>
      <c r="G182" s="3" t="s">
        <v>447</v>
      </c>
      <c r="H182" s="3" t="s">
        <v>448</v>
      </c>
      <c r="I182" s="3" t="str">
        <f>'Quantity grades'!G76</f>
        <v>WC-Co carbide and PM tool steel</v>
      </c>
      <c r="J182" s="3" t="s">
        <v>449</v>
      </c>
      <c r="K182" s="3" t="s">
        <v>29</v>
      </c>
      <c r="L182" s="10">
        <v>30</v>
      </c>
      <c r="M182" s="15">
        <v>30</v>
      </c>
      <c r="N182" s="10">
        <v>60</v>
      </c>
      <c r="O182" s="11">
        <v>0</v>
      </c>
      <c r="P182" s="10">
        <v>0</v>
      </c>
      <c r="Q182" s="10">
        <v>0</v>
      </c>
      <c r="R182" s="10">
        <v>20</v>
      </c>
      <c r="S182" s="10">
        <v>3</v>
      </c>
      <c r="T182" s="10">
        <v>5</v>
      </c>
      <c r="U182" s="9">
        <f t="shared" si="15"/>
        <v>30</v>
      </c>
      <c r="V182" s="9" t="str">
        <f t="shared" si="16"/>
        <v/>
      </c>
      <c r="W182" s="9">
        <f t="shared" si="17"/>
        <v>80</v>
      </c>
      <c r="X182" s="9">
        <f t="shared" si="18"/>
        <v>40</v>
      </c>
      <c r="Y182" s="9" t="str">
        <f t="shared" si="19"/>
        <v/>
      </c>
      <c r="Z182" s="9">
        <f t="shared" si="20"/>
        <v>90</v>
      </c>
      <c r="AA182" s="3" t="s">
        <v>488</v>
      </c>
      <c r="AB182" s="3" t="s">
        <v>458</v>
      </c>
    </row>
    <row r="183" spans="1:28" ht="76" customHeight="1">
      <c r="A183" s="6" t="s">
        <v>87</v>
      </c>
      <c r="B183" s="3" t="s">
        <v>211</v>
      </c>
      <c r="C183" s="3" t="s">
        <v>459</v>
      </c>
      <c r="D183" s="13" t="s">
        <v>453</v>
      </c>
      <c r="E183" s="8">
        <v>1</v>
      </c>
      <c r="F183" s="12" t="str">
        <f t="shared" si="14"/>
        <v>Ø50 × 90</v>
      </c>
      <c r="G183" s="3" t="s">
        <v>447</v>
      </c>
      <c r="H183" s="3" t="s">
        <v>448</v>
      </c>
      <c r="I183" s="3" t="str">
        <f>'Quantity grades'!G76</f>
        <v>WC-Co carbide and PM tool steel</v>
      </c>
      <c r="J183" s="3" t="s">
        <v>449</v>
      </c>
      <c r="K183" s="3" t="s">
        <v>29</v>
      </c>
      <c r="L183" s="10">
        <v>40</v>
      </c>
      <c r="M183" s="15">
        <v>40</v>
      </c>
      <c r="N183" s="10">
        <v>60</v>
      </c>
      <c r="O183" s="11">
        <v>0</v>
      </c>
      <c r="P183" s="10">
        <v>0</v>
      </c>
      <c r="Q183" s="10">
        <v>0</v>
      </c>
      <c r="R183" s="10">
        <v>20</v>
      </c>
      <c r="S183" s="10">
        <v>3</v>
      </c>
      <c r="T183" s="10">
        <v>5</v>
      </c>
      <c r="U183" s="9">
        <f t="shared" si="15"/>
        <v>40</v>
      </c>
      <c r="V183" s="9" t="str">
        <f t="shared" si="16"/>
        <v/>
      </c>
      <c r="W183" s="9">
        <f t="shared" si="17"/>
        <v>80</v>
      </c>
      <c r="X183" s="9">
        <f t="shared" si="18"/>
        <v>50</v>
      </c>
      <c r="Y183" s="9" t="str">
        <f t="shared" si="19"/>
        <v/>
      </c>
      <c r="Z183" s="9">
        <f t="shared" si="20"/>
        <v>90</v>
      </c>
      <c r="AA183" s="3" t="s">
        <v>489</v>
      </c>
      <c r="AB183" s="3" t="s">
        <v>458</v>
      </c>
    </row>
    <row r="184" spans="1:28" ht="76" customHeight="1">
      <c r="A184" s="6" t="s">
        <v>87</v>
      </c>
      <c r="B184" s="3" t="s">
        <v>211</v>
      </c>
      <c r="C184" s="3" t="s">
        <v>461</v>
      </c>
      <c r="D184" s="13" t="s">
        <v>462</v>
      </c>
      <c r="E184" s="8">
        <v>1</v>
      </c>
      <c r="F184" s="12" t="str">
        <f t="shared" si="14"/>
        <v>Ø22 × 102</v>
      </c>
      <c r="G184" s="3" t="s">
        <v>447</v>
      </c>
      <c r="H184" s="3" t="s">
        <v>448</v>
      </c>
      <c r="I184" s="3" t="s">
        <v>463</v>
      </c>
      <c r="J184" s="3" t="s">
        <v>449</v>
      </c>
      <c r="K184" s="3" t="s">
        <v>29</v>
      </c>
      <c r="L184" s="10">
        <v>20</v>
      </c>
      <c r="M184" s="15">
        <v>20</v>
      </c>
      <c r="N184" s="10">
        <v>100</v>
      </c>
      <c r="O184" s="11">
        <v>0</v>
      </c>
      <c r="P184" s="10">
        <v>0</v>
      </c>
      <c r="Q184" s="10">
        <v>0</v>
      </c>
      <c r="R184" s="10">
        <v>0</v>
      </c>
      <c r="S184" s="10">
        <v>1</v>
      </c>
      <c r="T184" s="10">
        <v>1</v>
      </c>
      <c r="U184" s="9">
        <f t="shared" si="15"/>
        <v>20</v>
      </c>
      <c r="V184" s="9" t="str">
        <f t="shared" si="16"/>
        <v/>
      </c>
      <c r="W184" s="9">
        <f t="shared" si="17"/>
        <v>100</v>
      </c>
      <c r="X184" s="9">
        <f t="shared" si="18"/>
        <v>22</v>
      </c>
      <c r="Y184" s="9" t="str">
        <f t="shared" si="19"/>
        <v/>
      </c>
      <c r="Z184" s="9">
        <f t="shared" si="20"/>
        <v>102</v>
      </c>
      <c r="AA184" s="3" t="s">
        <v>490</v>
      </c>
      <c r="AB184" s="3" t="s">
        <v>465</v>
      </c>
    </row>
    <row r="185" spans="1:28" ht="76" customHeight="1">
      <c r="A185" s="6" t="s">
        <v>97</v>
      </c>
      <c r="B185" s="3" t="s">
        <v>187</v>
      </c>
      <c r="C185" s="3" t="s">
        <v>491</v>
      </c>
      <c r="D185" s="14" t="s">
        <v>245</v>
      </c>
      <c r="E185" s="8">
        <v>1</v>
      </c>
      <c r="F185" s="12" t="str">
        <f t="shared" si="14"/>
        <v>95 × 75 × 40</v>
      </c>
      <c r="G185" s="3" t="s">
        <v>492</v>
      </c>
      <c r="H185" s="3" t="s">
        <v>493</v>
      </c>
      <c r="I185" s="3" t="str">
        <f>'Quantity grades'!G77</f>
        <v>P20; hard inserts if needed</v>
      </c>
      <c r="J185" s="3" t="s">
        <v>494</v>
      </c>
      <c r="K185" s="3" t="s">
        <v>22</v>
      </c>
      <c r="L185" s="10">
        <v>30</v>
      </c>
      <c r="M185" s="10">
        <v>15</v>
      </c>
      <c r="N185" s="10">
        <v>6</v>
      </c>
      <c r="O185" s="11">
        <v>0.18</v>
      </c>
      <c r="P185" s="10">
        <v>25</v>
      </c>
      <c r="Q185" s="10">
        <v>25</v>
      </c>
      <c r="R185" s="10">
        <v>25</v>
      </c>
      <c r="S185" s="10">
        <v>3</v>
      </c>
      <c r="T185" s="10">
        <v>5</v>
      </c>
      <c r="U185" s="9">
        <f t="shared" si="15"/>
        <v>85.4</v>
      </c>
      <c r="V185" s="9">
        <f t="shared" si="16"/>
        <v>67.7</v>
      </c>
      <c r="W185" s="9">
        <f t="shared" si="17"/>
        <v>32.08</v>
      </c>
      <c r="X185" s="9">
        <f t="shared" si="18"/>
        <v>95</v>
      </c>
      <c r="Y185" s="9">
        <f t="shared" si="19"/>
        <v>75</v>
      </c>
      <c r="Z185" s="9">
        <f t="shared" si="20"/>
        <v>40</v>
      </c>
      <c r="AA185" s="3" t="s">
        <v>495</v>
      </c>
      <c r="AB185" s="3" t="s">
        <v>496</v>
      </c>
    </row>
    <row r="186" spans="1:28" ht="76" customHeight="1">
      <c r="A186" s="6" t="s">
        <v>97</v>
      </c>
      <c r="B186" s="3" t="s">
        <v>187</v>
      </c>
      <c r="C186" s="3" t="s">
        <v>497</v>
      </c>
      <c r="D186" s="13" t="s">
        <v>498</v>
      </c>
      <c r="E186" s="8">
        <v>1</v>
      </c>
      <c r="F186" s="12" t="str">
        <f t="shared" si="14"/>
        <v>95 × 75 × 40</v>
      </c>
      <c r="G186" s="3" t="s">
        <v>492</v>
      </c>
      <c r="H186" s="3" t="s">
        <v>493</v>
      </c>
      <c r="I186" s="3" t="str">
        <f>'Quantity grades'!G77</f>
        <v>P20; hard inserts if needed</v>
      </c>
      <c r="J186" s="3" t="s">
        <v>494</v>
      </c>
      <c r="K186" s="3" t="s">
        <v>22</v>
      </c>
      <c r="L186" s="10">
        <v>30</v>
      </c>
      <c r="M186" s="10">
        <v>15</v>
      </c>
      <c r="N186" s="10">
        <v>6</v>
      </c>
      <c r="O186" s="11">
        <v>0.18</v>
      </c>
      <c r="P186" s="10">
        <v>25</v>
      </c>
      <c r="Q186" s="10">
        <v>25</v>
      </c>
      <c r="R186" s="10">
        <v>25</v>
      </c>
      <c r="S186" s="10">
        <v>3</v>
      </c>
      <c r="T186" s="10">
        <v>5</v>
      </c>
      <c r="U186" s="9">
        <f t="shared" si="15"/>
        <v>85.4</v>
      </c>
      <c r="V186" s="9">
        <f t="shared" si="16"/>
        <v>67.7</v>
      </c>
      <c r="W186" s="9">
        <f t="shared" si="17"/>
        <v>32.08</v>
      </c>
      <c r="X186" s="9">
        <f t="shared" si="18"/>
        <v>95</v>
      </c>
      <c r="Y186" s="9">
        <f t="shared" si="19"/>
        <v>75</v>
      </c>
      <c r="Z186" s="9">
        <f t="shared" si="20"/>
        <v>40</v>
      </c>
      <c r="AA186" s="3" t="s">
        <v>499</v>
      </c>
      <c r="AB186" s="3" t="s">
        <v>500</v>
      </c>
    </row>
    <row r="187" spans="1:28" ht="76" customHeight="1">
      <c r="A187" s="6" t="s">
        <v>97</v>
      </c>
      <c r="B187" s="3" t="s">
        <v>187</v>
      </c>
      <c r="C187" s="3" t="s">
        <v>501</v>
      </c>
      <c r="D187" s="13" t="s">
        <v>364</v>
      </c>
      <c r="E187" s="8">
        <v>1</v>
      </c>
      <c r="F187" s="12" t="str">
        <f t="shared" si="14"/>
        <v>Ø7 × 53</v>
      </c>
      <c r="G187" s="3" t="s">
        <v>492</v>
      </c>
      <c r="H187" s="3" t="s">
        <v>493</v>
      </c>
      <c r="I187" s="3" t="s">
        <v>402</v>
      </c>
      <c r="J187" s="3" t="s">
        <v>494</v>
      </c>
      <c r="K187" s="3" t="s">
        <v>29</v>
      </c>
      <c r="L187" s="10">
        <v>4</v>
      </c>
      <c r="M187" s="15">
        <v>4</v>
      </c>
      <c r="N187" s="10">
        <v>30</v>
      </c>
      <c r="O187" s="11">
        <v>0.18</v>
      </c>
      <c r="P187" s="10">
        <v>0</v>
      </c>
      <c r="Q187" s="10">
        <v>0</v>
      </c>
      <c r="R187" s="10">
        <v>15</v>
      </c>
      <c r="S187" s="10">
        <v>1</v>
      </c>
      <c r="T187" s="10">
        <v>1</v>
      </c>
      <c r="U187" s="9">
        <f t="shared" si="15"/>
        <v>4.72</v>
      </c>
      <c r="V187" s="9" t="str">
        <f t="shared" si="16"/>
        <v/>
      </c>
      <c r="W187" s="9">
        <f t="shared" si="17"/>
        <v>50.4</v>
      </c>
      <c r="X187" s="9">
        <f t="shared" si="18"/>
        <v>7</v>
      </c>
      <c r="Y187" s="9" t="str">
        <f t="shared" si="19"/>
        <v/>
      </c>
      <c r="Z187" s="9">
        <f t="shared" si="20"/>
        <v>53</v>
      </c>
      <c r="AA187" s="3" t="s">
        <v>502</v>
      </c>
      <c r="AB187" s="3" t="s">
        <v>503</v>
      </c>
    </row>
    <row r="188" spans="1:28" ht="76" customHeight="1">
      <c r="A188" s="6" t="s">
        <v>97</v>
      </c>
      <c r="B188" s="3" t="s">
        <v>187</v>
      </c>
      <c r="C188" s="3" t="s">
        <v>504</v>
      </c>
      <c r="D188" s="16" t="s">
        <v>505</v>
      </c>
      <c r="E188" s="8">
        <v>1</v>
      </c>
      <c r="F188" s="12" t="str">
        <f t="shared" si="14"/>
        <v>50 × 40 × 40</v>
      </c>
      <c r="G188" s="3" t="s">
        <v>492</v>
      </c>
      <c r="H188" s="3" t="s">
        <v>493</v>
      </c>
      <c r="I188" s="3" t="s">
        <v>506</v>
      </c>
      <c r="J188" s="3" t="s">
        <v>494</v>
      </c>
      <c r="K188" s="3" t="s">
        <v>22</v>
      </c>
      <c r="L188" s="10">
        <v>40</v>
      </c>
      <c r="M188" s="10">
        <v>30</v>
      </c>
      <c r="N188" s="10">
        <v>30</v>
      </c>
      <c r="O188" s="11">
        <v>0</v>
      </c>
      <c r="P188" s="10">
        <v>0</v>
      </c>
      <c r="Q188" s="10">
        <v>0</v>
      </c>
      <c r="R188" s="10">
        <v>0</v>
      </c>
      <c r="S188" s="10">
        <v>3</v>
      </c>
      <c r="T188" s="10">
        <v>5</v>
      </c>
      <c r="U188" s="9">
        <f t="shared" si="15"/>
        <v>40</v>
      </c>
      <c r="V188" s="9">
        <f t="shared" si="16"/>
        <v>30</v>
      </c>
      <c r="W188" s="9">
        <f t="shared" si="17"/>
        <v>30</v>
      </c>
      <c r="X188" s="9">
        <f t="shared" si="18"/>
        <v>50</v>
      </c>
      <c r="Y188" s="9">
        <f t="shared" si="19"/>
        <v>40</v>
      </c>
      <c r="Z188" s="9">
        <f t="shared" si="20"/>
        <v>40</v>
      </c>
      <c r="AA188" s="3" t="s">
        <v>507</v>
      </c>
      <c r="AB188" s="3" t="s">
        <v>508</v>
      </c>
    </row>
    <row r="189" spans="1:28" ht="76" customHeight="1">
      <c r="A189" s="6" t="s">
        <v>97</v>
      </c>
      <c r="B189" s="3" t="s">
        <v>199</v>
      </c>
      <c r="C189" s="3" t="s">
        <v>491</v>
      </c>
      <c r="D189" s="14" t="s">
        <v>245</v>
      </c>
      <c r="E189" s="8">
        <v>1</v>
      </c>
      <c r="F189" s="12" t="str">
        <f t="shared" si="14"/>
        <v>95 × 75 × 40</v>
      </c>
      <c r="G189" s="3" t="s">
        <v>492</v>
      </c>
      <c r="H189" s="3" t="s">
        <v>493</v>
      </c>
      <c r="I189" s="3" t="str">
        <f>'Quantity grades'!G78</f>
        <v>P20 / H13</v>
      </c>
      <c r="J189" s="3" t="s">
        <v>494</v>
      </c>
      <c r="K189" s="3" t="s">
        <v>22</v>
      </c>
      <c r="L189" s="10">
        <v>30</v>
      </c>
      <c r="M189" s="10">
        <v>15</v>
      </c>
      <c r="N189" s="10">
        <v>6</v>
      </c>
      <c r="O189" s="11">
        <v>0.18</v>
      </c>
      <c r="P189" s="10">
        <v>25</v>
      </c>
      <c r="Q189" s="10">
        <v>25</v>
      </c>
      <c r="R189" s="10">
        <v>25</v>
      </c>
      <c r="S189" s="10">
        <v>3</v>
      </c>
      <c r="T189" s="10">
        <v>5</v>
      </c>
      <c r="U189" s="9">
        <f t="shared" si="15"/>
        <v>85.4</v>
      </c>
      <c r="V189" s="9">
        <f t="shared" si="16"/>
        <v>67.7</v>
      </c>
      <c r="W189" s="9">
        <f t="shared" si="17"/>
        <v>32.08</v>
      </c>
      <c r="X189" s="9">
        <f t="shared" si="18"/>
        <v>95</v>
      </c>
      <c r="Y189" s="9">
        <f t="shared" si="19"/>
        <v>75</v>
      </c>
      <c r="Z189" s="9">
        <f t="shared" si="20"/>
        <v>40</v>
      </c>
      <c r="AA189" s="3" t="s">
        <v>509</v>
      </c>
      <c r="AB189" s="3" t="s">
        <v>496</v>
      </c>
    </row>
    <row r="190" spans="1:28" ht="76" customHeight="1">
      <c r="A190" s="6" t="s">
        <v>97</v>
      </c>
      <c r="B190" s="3" t="s">
        <v>199</v>
      </c>
      <c r="C190" s="3" t="s">
        <v>497</v>
      </c>
      <c r="D190" s="13" t="s">
        <v>498</v>
      </c>
      <c r="E190" s="8">
        <v>1</v>
      </c>
      <c r="F190" s="12" t="str">
        <f t="shared" si="14"/>
        <v>95 × 75 × 40</v>
      </c>
      <c r="G190" s="3" t="s">
        <v>492</v>
      </c>
      <c r="H190" s="3" t="s">
        <v>493</v>
      </c>
      <c r="I190" s="3" t="str">
        <f>'Quantity grades'!G78</f>
        <v>P20 / H13</v>
      </c>
      <c r="J190" s="3" t="s">
        <v>494</v>
      </c>
      <c r="K190" s="3" t="s">
        <v>22</v>
      </c>
      <c r="L190" s="10">
        <v>30</v>
      </c>
      <c r="M190" s="10">
        <v>15</v>
      </c>
      <c r="N190" s="10">
        <v>6</v>
      </c>
      <c r="O190" s="11">
        <v>0.18</v>
      </c>
      <c r="P190" s="10">
        <v>25</v>
      </c>
      <c r="Q190" s="10">
        <v>25</v>
      </c>
      <c r="R190" s="10">
        <v>25</v>
      </c>
      <c r="S190" s="10">
        <v>3</v>
      </c>
      <c r="T190" s="10">
        <v>5</v>
      </c>
      <c r="U190" s="9">
        <f t="shared" si="15"/>
        <v>85.4</v>
      </c>
      <c r="V190" s="9">
        <f t="shared" si="16"/>
        <v>67.7</v>
      </c>
      <c r="W190" s="9">
        <f t="shared" si="17"/>
        <v>32.08</v>
      </c>
      <c r="X190" s="9">
        <f t="shared" si="18"/>
        <v>95</v>
      </c>
      <c r="Y190" s="9">
        <f t="shared" si="19"/>
        <v>75</v>
      </c>
      <c r="Z190" s="9">
        <f t="shared" si="20"/>
        <v>40</v>
      </c>
      <c r="AA190" s="3" t="s">
        <v>510</v>
      </c>
      <c r="AB190" s="3" t="s">
        <v>500</v>
      </c>
    </row>
    <row r="191" spans="1:28" ht="76" customHeight="1">
      <c r="A191" s="6" t="s">
        <v>97</v>
      </c>
      <c r="B191" s="3" t="s">
        <v>199</v>
      </c>
      <c r="C191" s="3" t="s">
        <v>501</v>
      </c>
      <c r="D191" s="13" t="s">
        <v>364</v>
      </c>
      <c r="E191" s="8">
        <v>1</v>
      </c>
      <c r="F191" s="12" t="str">
        <f t="shared" si="14"/>
        <v>Ø7 × 53</v>
      </c>
      <c r="G191" s="3" t="s">
        <v>492</v>
      </c>
      <c r="H191" s="3" t="s">
        <v>493</v>
      </c>
      <c r="I191" s="3" t="s">
        <v>402</v>
      </c>
      <c r="J191" s="3" t="s">
        <v>494</v>
      </c>
      <c r="K191" s="3" t="s">
        <v>29</v>
      </c>
      <c r="L191" s="10">
        <v>4</v>
      </c>
      <c r="M191" s="15">
        <v>4</v>
      </c>
      <c r="N191" s="10">
        <v>30</v>
      </c>
      <c r="O191" s="11">
        <v>0.18</v>
      </c>
      <c r="P191" s="10">
        <v>0</v>
      </c>
      <c r="Q191" s="10">
        <v>0</v>
      </c>
      <c r="R191" s="10">
        <v>15</v>
      </c>
      <c r="S191" s="10">
        <v>1</v>
      </c>
      <c r="T191" s="10">
        <v>1</v>
      </c>
      <c r="U191" s="9">
        <f t="shared" si="15"/>
        <v>4.72</v>
      </c>
      <c r="V191" s="9" t="str">
        <f t="shared" si="16"/>
        <v/>
      </c>
      <c r="W191" s="9">
        <f t="shared" si="17"/>
        <v>50.4</v>
      </c>
      <c r="X191" s="9">
        <f t="shared" si="18"/>
        <v>7</v>
      </c>
      <c r="Y191" s="9" t="str">
        <f t="shared" si="19"/>
        <v/>
      </c>
      <c r="Z191" s="9">
        <f t="shared" si="20"/>
        <v>53</v>
      </c>
      <c r="AA191" s="3" t="s">
        <v>511</v>
      </c>
      <c r="AB191" s="3" t="s">
        <v>503</v>
      </c>
    </row>
    <row r="192" spans="1:28" ht="76" customHeight="1">
      <c r="A192" s="6" t="s">
        <v>97</v>
      </c>
      <c r="B192" s="3" t="s">
        <v>199</v>
      </c>
      <c r="C192" s="3" t="s">
        <v>504</v>
      </c>
      <c r="D192" s="16" t="s">
        <v>505</v>
      </c>
      <c r="E192" s="8">
        <v>1</v>
      </c>
      <c r="F192" s="12" t="str">
        <f t="shared" si="14"/>
        <v>50 × 40 × 40</v>
      </c>
      <c r="G192" s="3" t="s">
        <v>492</v>
      </c>
      <c r="H192" s="3" t="s">
        <v>493</v>
      </c>
      <c r="I192" s="3" t="s">
        <v>506</v>
      </c>
      <c r="J192" s="3" t="s">
        <v>494</v>
      </c>
      <c r="K192" s="3" t="s">
        <v>22</v>
      </c>
      <c r="L192" s="10">
        <v>40</v>
      </c>
      <c r="M192" s="10">
        <v>30</v>
      </c>
      <c r="N192" s="10">
        <v>30</v>
      </c>
      <c r="O192" s="11">
        <v>0</v>
      </c>
      <c r="P192" s="10">
        <v>0</v>
      </c>
      <c r="Q192" s="10">
        <v>0</v>
      </c>
      <c r="R192" s="10">
        <v>0</v>
      </c>
      <c r="S192" s="10">
        <v>3</v>
      </c>
      <c r="T192" s="10">
        <v>5</v>
      </c>
      <c r="U192" s="9">
        <f t="shared" si="15"/>
        <v>40</v>
      </c>
      <c r="V192" s="9">
        <f t="shared" si="16"/>
        <v>30</v>
      </c>
      <c r="W192" s="9">
        <f t="shared" si="17"/>
        <v>30</v>
      </c>
      <c r="X192" s="9">
        <f t="shared" si="18"/>
        <v>50</v>
      </c>
      <c r="Y192" s="9">
        <f t="shared" si="19"/>
        <v>40</v>
      </c>
      <c r="Z192" s="9">
        <f t="shared" si="20"/>
        <v>40</v>
      </c>
      <c r="AA192" s="3" t="s">
        <v>512</v>
      </c>
      <c r="AB192" s="3" t="s">
        <v>508</v>
      </c>
    </row>
    <row r="193" spans="1:28" ht="76" customHeight="1">
      <c r="A193" s="6" t="s">
        <v>97</v>
      </c>
      <c r="B193" s="3" t="s">
        <v>202</v>
      </c>
      <c r="C193" s="3" t="s">
        <v>491</v>
      </c>
      <c r="D193" s="14" t="s">
        <v>245</v>
      </c>
      <c r="E193" s="8">
        <v>1</v>
      </c>
      <c r="F193" s="12" t="str">
        <f t="shared" si="14"/>
        <v>95 × 75 × 40</v>
      </c>
      <c r="G193" s="3" t="s">
        <v>492</v>
      </c>
      <c r="H193" s="3" t="s">
        <v>493</v>
      </c>
      <c r="I193" s="3" t="str">
        <f>'Quantity grades'!G79</f>
        <v>P20 / hardened H13</v>
      </c>
      <c r="J193" s="3" t="s">
        <v>494</v>
      </c>
      <c r="K193" s="3" t="s">
        <v>22</v>
      </c>
      <c r="L193" s="10">
        <v>30</v>
      </c>
      <c r="M193" s="10">
        <v>15</v>
      </c>
      <c r="N193" s="10">
        <v>6</v>
      </c>
      <c r="O193" s="11">
        <v>0.18</v>
      </c>
      <c r="P193" s="10">
        <v>25</v>
      </c>
      <c r="Q193" s="10">
        <v>25</v>
      </c>
      <c r="R193" s="10">
        <v>25</v>
      </c>
      <c r="S193" s="10">
        <v>3</v>
      </c>
      <c r="T193" s="10">
        <v>5</v>
      </c>
      <c r="U193" s="9">
        <f t="shared" si="15"/>
        <v>85.4</v>
      </c>
      <c r="V193" s="9">
        <f t="shared" si="16"/>
        <v>67.7</v>
      </c>
      <c r="W193" s="9">
        <f t="shared" si="17"/>
        <v>32.08</v>
      </c>
      <c r="X193" s="9">
        <f t="shared" si="18"/>
        <v>95</v>
      </c>
      <c r="Y193" s="9">
        <f t="shared" si="19"/>
        <v>75</v>
      </c>
      <c r="Z193" s="9">
        <f t="shared" si="20"/>
        <v>40</v>
      </c>
      <c r="AA193" s="3" t="s">
        <v>513</v>
      </c>
      <c r="AB193" s="3" t="s">
        <v>496</v>
      </c>
    </row>
    <row r="194" spans="1:28" ht="76" customHeight="1">
      <c r="A194" s="6" t="s">
        <v>97</v>
      </c>
      <c r="B194" s="3" t="s">
        <v>202</v>
      </c>
      <c r="C194" s="3" t="s">
        <v>497</v>
      </c>
      <c r="D194" s="13" t="s">
        <v>498</v>
      </c>
      <c r="E194" s="8">
        <v>1</v>
      </c>
      <c r="F194" s="12" t="str">
        <f t="shared" si="14"/>
        <v>95 × 75 × 40</v>
      </c>
      <c r="G194" s="3" t="s">
        <v>492</v>
      </c>
      <c r="H194" s="3" t="s">
        <v>493</v>
      </c>
      <c r="I194" s="3" t="str">
        <f>'Quantity grades'!G79</f>
        <v>P20 / hardened H13</v>
      </c>
      <c r="J194" s="3" t="s">
        <v>494</v>
      </c>
      <c r="K194" s="3" t="s">
        <v>22</v>
      </c>
      <c r="L194" s="10">
        <v>30</v>
      </c>
      <c r="M194" s="10">
        <v>15</v>
      </c>
      <c r="N194" s="10">
        <v>6</v>
      </c>
      <c r="O194" s="11">
        <v>0.18</v>
      </c>
      <c r="P194" s="10">
        <v>25</v>
      </c>
      <c r="Q194" s="10">
        <v>25</v>
      </c>
      <c r="R194" s="10">
        <v>25</v>
      </c>
      <c r="S194" s="10">
        <v>3</v>
      </c>
      <c r="T194" s="10">
        <v>5</v>
      </c>
      <c r="U194" s="9">
        <f t="shared" si="15"/>
        <v>85.4</v>
      </c>
      <c r="V194" s="9">
        <f t="shared" si="16"/>
        <v>67.7</v>
      </c>
      <c r="W194" s="9">
        <f t="shared" si="17"/>
        <v>32.08</v>
      </c>
      <c r="X194" s="9">
        <f t="shared" si="18"/>
        <v>95</v>
      </c>
      <c r="Y194" s="9">
        <f t="shared" si="19"/>
        <v>75</v>
      </c>
      <c r="Z194" s="9">
        <f t="shared" si="20"/>
        <v>40</v>
      </c>
      <c r="AA194" s="3" t="s">
        <v>514</v>
      </c>
      <c r="AB194" s="3" t="s">
        <v>500</v>
      </c>
    </row>
    <row r="195" spans="1:28" ht="76" customHeight="1">
      <c r="A195" s="6" t="s">
        <v>97</v>
      </c>
      <c r="B195" s="3" t="s">
        <v>202</v>
      </c>
      <c r="C195" s="3" t="s">
        <v>501</v>
      </c>
      <c r="D195" s="13" t="s">
        <v>364</v>
      </c>
      <c r="E195" s="8">
        <v>1</v>
      </c>
      <c r="F195" s="12" t="str">
        <f t="shared" si="14"/>
        <v>Ø7 × 53</v>
      </c>
      <c r="G195" s="3" t="s">
        <v>492</v>
      </c>
      <c r="H195" s="3" t="s">
        <v>493</v>
      </c>
      <c r="I195" s="3" t="s">
        <v>402</v>
      </c>
      <c r="J195" s="3" t="s">
        <v>494</v>
      </c>
      <c r="K195" s="3" t="s">
        <v>29</v>
      </c>
      <c r="L195" s="10">
        <v>4</v>
      </c>
      <c r="M195" s="15">
        <v>4</v>
      </c>
      <c r="N195" s="10">
        <v>30</v>
      </c>
      <c r="O195" s="11">
        <v>0.18</v>
      </c>
      <c r="P195" s="10">
        <v>0</v>
      </c>
      <c r="Q195" s="10">
        <v>0</v>
      </c>
      <c r="R195" s="10">
        <v>15</v>
      </c>
      <c r="S195" s="10">
        <v>1</v>
      </c>
      <c r="T195" s="10">
        <v>1</v>
      </c>
      <c r="U195" s="9">
        <f t="shared" si="15"/>
        <v>4.72</v>
      </c>
      <c r="V195" s="9" t="str">
        <f t="shared" si="16"/>
        <v/>
      </c>
      <c r="W195" s="9">
        <f t="shared" si="17"/>
        <v>50.4</v>
      </c>
      <c r="X195" s="9">
        <f t="shared" si="18"/>
        <v>7</v>
      </c>
      <c r="Y195" s="9" t="str">
        <f t="shared" si="19"/>
        <v/>
      </c>
      <c r="Z195" s="9">
        <f t="shared" si="20"/>
        <v>53</v>
      </c>
      <c r="AA195" s="3" t="s">
        <v>515</v>
      </c>
      <c r="AB195" s="3" t="s">
        <v>503</v>
      </c>
    </row>
    <row r="196" spans="1:28" ht="76" customHeight="1">
      <c r="A196" s="6" t="s">
        <v>97</v>
      </c>
      <c r="B196" s="3" t="s">
        <v>202</v>
      </c>
      <c r="C196" s="3" t="s">
        <v>504</v>
      </c>
      <c r="D196" s="16" t="s">
        <v>505</v>
      </c>
      <c r="E196" s="8">
        <v>1</v>
      </c>
      <c r="F196" s="12" t="str">
        <f t="shared" si="14"/>
        <v>50 × 40 × 40</v>
      </c>
      <c r="G196" s="3" t="s">
        <v>492</v>
      </c>
      <c r="H196" s="3" t="s">
        <v>493</v>
      </c>
      <c r="I196" s="3" t="s">
        <v>506</v>
      </c>
      <c r="J196" s="3" t="s">
        <v>494</v>
      </c>
      <c r="K196" s="3" t="s">
        <v>22</v>
      </c>
      <c r="L196" s="10">
        <v>40</v>
      </c>
      <c r="M196" s="10">
        <v>30</v>
      </c>
      <c r="N196" s="10">
        <v>30</v>
      </c>
      <c r="O196" s="11">
        <v>0</v>
      </c>
      <c r="P196" s="10">
        <v>0</v>
      </c>
      <c r="Q196" s="10">
        <v>0</v>
      </c>
      <c r="R196" s="10">
        <v>0</v>
      </c>
      <c r="S196" s="10">
        <v>3</v>
      </c>
      <c r="T196" s="10">
        <v>5</v>
      </c>
      <c r="U196" s="9">
        <f t="shared" si="15"/>
        <v>40</v>
      </c>
      <c r="V196" s="9">
        <f t="shared" si="16"/>
        <v>30</v>
      </c>
      <c r="W196" s="9">
        <f t="shared" si="17"/>
        <v>30</v>
      </c>
      <c r="X196" s="9">
        <f t="shared" si="18"/>
        <v>50</v>
      </c>
      <c r="Y196" s="9">
        <f t="shared" si="19"/>
        <v>40</v>
      </c>
      <c r="Z196" s="9">
        <f t="shared" si="20"/>
        <v>40</v>
      </c>
      <c r="AA196" s="3" t="s">
        <v>516</v>
      </c>
      <c r="AB196" s="3" t="s">
        <v>508</v>
      </c>
    </row>
    <row r="197" spans="1:28" ht="76" customHeight="1">
      <c r="A197" s="6" t="s">
        <v>97</v>
      </c>
      <c r="B197" s="3" t="s">
        <v>205</v>
      </c>
      <c r="C197" s="3" t="s">
        <v>491</v>
      </c>
      <c r="D197" s="14" t="s">
        <v>245</v>
      </c>
      <c r="E197" s="8">
        <v>1</v>
      </c>
      <c r="F197" s="12" t="str">
        <f t="shared" ref="F197:F260" si="21">IF(K197="Round billet","Ø"&amp;X197&amp;" × "&amp;Z197,X197&amp;" × "&amp;Y197&amp;" × "&amp;Z197)</f>
        <v>95 × 75 × 40</v>
      </c>
      <c r="G197" s="3" t="s">
        <v>492</v>
      </c>
      <c r="H197" s="3" t="s">
        <v>493</v>
      </c>
      <c r="I197" s="3" t="str">
        <f>'Quantity grades'!G80</f>
        <v>H13 / 1.2083</v>
      </c>
      <c r="J197" s="3" t="s">
        <v>494</v>
      </c>
      <c r="K197" s="3" t="s">
        <v>22</v>
      </c>
      <c r="L197" s="10">
        <v>30</v>
      </c>
      <c r="M197" s="10">
        <v>15</v>
      </c>
      <c r="N197" s="10">
        <v>6</v>
      </c>
      <c r="O197" s="11">
        <v>0.18</v>
      </c>
      <c r="P197" s="10">
        <v>25</v>
      </c>
      <c r="Q197" s="10">
        <v>25</v>
      </c>
      <c r="R197" s="10">
        <v>25</v>
      </c>
      <c r="S197" s="10">
        <v>3</v>
      </c>
      <c r="T197" s="10">
        <v>5</v>
      </c>
      <c r="U197" s="9">
        <f t="shared" ref="U197:U260" si="22">L197*(1+O197)+2*P197</f>
        <v>85.4</v>
      </c>
      <c r="V197" s="9">
        <f t="shared" ref="V197:V260" si="23">IF(K197="Round billet","",M197*(1+O197)+2*Q197)</f>
        <v>67.7</v>
      </c>
      <c r="W197" s="9">
        <f t="shared" ref="W197:W260" si="24">N197*(1+O197)+R197</f>
        <v>32.08</v>
      </c>
      <c r="X197" s="9">
        <f t="shared" ref="X197:X260" si="25">ROUNDUP((U197+2*S197)/T197,0)*T197</f>
        <v>95</v>
      </c>
      <c r="Y197" s="9">
        <f t="shared" ref="Y197:Y260" si="26">IF(K197="Round billet","",ROUNDUP((V197+2*S197)/T197,0)*T197)</f>
        <v>75</v>
      </c>
      <c r="Z197" s="9">
        <f t="shared" ref="Z197:Z260" si="27">ROUNDUP((W197+2*S197)/T197,0)*T197</f>
        <v>40</v>
      </c>
      <c r="AA197" s="3" t="s">
        <v>517</v>
      </c>
      <c r="AB197" s="3" t="s">
        <v>496</v>
      </c>
    </row>
    <row r="198" spans="1:28" ht="76" customHeight="1">
      <c r="A198" s="6" t="s">
        <v>97</v>
      </c>
      <c r="B198" s="3" t="s">
        <v>205</v>
      </c>
      <c r="C198" s="3" t="s">
        <v>497</v>
      </c>
      <c r="D198" s="13" t="s">
        <v>498</v>
      </c>
      <c r="E198" s="8">
        <v>1</v>
      </c>
      <c r="F198" s="12" t="str">
        <f t="shared" si="21"/>
        <v>95 × 75 × 40</v>
      </c>
      <c r="G198" s="3" t="s">
        <v>492</v>
      </c>
      <c r="H198" s="3" t="s">
        <v>493</v>
      </c>
      <c r="I198" s="3" t="str">
        <f>'Quantity grades'!G80</f>
        <v>H13 / 1.2083</v>
      </c>
      <c r="J198" s="3" t="s">
        <v>494</v>
      </c>
      <c r="K198" s="3" t="s">
        <v>22</v>
      </c>
      <c r="L198" s="10">
        <v>30</v>
      </c>
      <c r="M198" s="10">
        <v>15</v>
      </c>
      <c r="N198" s="10">
        <v>6</v>
      </c>
      <c r="O198" s="11">
        <v>0.18</v>
      </c>
      <c r="P198" s="10">
        <v>25</v>
      </c>
      <c r="Q198" s="10">
        <v>25</v>
      </c>
      <c r="R198" s="10">
        <v>25</v>
      </c>
      <c r="S198" s="10">
        <v>3</v>
      </c>
      <c r="T198" s="10">
        <v>5</v>
      </c>
      <c r="U198" s="9">
        <f t="shared" si="22"/>
        <v>85.4</v>
      </c>
      <c r="V198" s="9">
        <f t="shared" si="23"/>
        <v>67.7</v>
      </c>
      <c r="W198" s="9">
        <f t="shared" si="24"/>
        <v>32.08</v>
      </c>
      <c r="X198" s="9">
        <f t="shared" si="25"/>
        <v>95</v>
      </c>
      <c r="Y198" s="9">
        <f t="shared" si="26"/>
        <v>75</v>
      </c>
      <c r="Z198" s="9">
        <f t="shared" si="27"/>
        <v>40</v>
      </c>
      <c r="AA198" s="3" t="s">
        <v>518</v>
      </c>
      <c r="AB198" s="3" t="s">
        <v>500</v>
      </c>
    </row>
    <row r="199" spans="1:28" ht="76" customHeight="1">
      <c r="A199" s="6" t="s">
        <v>97</v>
      </c>
      <c r="B199" s="3" t="s">
        <v>205</v>
      </c>
      <c r="C199" s="3" t="s">
        <v>501</v>
      </c>
      <c r="D199" s="13" t="s">
        <v>364</v>
      </c>
      <c r="E199" s="8">
        <v>1</v>
      </c>
      <c r="F199" s="12" t="str">
        <f t="shared" si="21"/>
        <v>Ø7 × 53</v>
      </c>
      <c r="G199" s="3" t="s">
        <v>492</v>
      </c>
      <c r="H199" s="3" t="s">
        <v>493</v>
      </c>
      <c r="I199" s="3" t="s">
        <v>402</v>
      </c>
      <c r="J199" s="3" t="s">
        <v>494</v>
      </c>
      <c r="K199" s="3" t="s">
        <v>29</v>
      </c>
      <c r="L199" s="10">
        <v>4</v>
      </c>
      <c r="M199" s="15">
        <v>4</v>
      </c>
      <c r="N199" s="10">
        <v>30</v>
      </c>
      <c r="O199" s="11">
        <v>0.18</v>
      </c>
      <c r="P199" s="10">
        <v>0</v>
      </c>
      <c r="Q199" s="10">
        <v>0</v>
      </c>
      <c r="R199" s="10">
        <v>15</v>
      </c>
      <c r="S199" s="10">
        <v>1</v>
      </c>
      <c r="T199" s="10">
        <v>1</v>
      </c>
      <c r="U199" s="9">
        <f t="shared" si="22"/>
        <v>4.72</v>
      </c>
      <c r="V199" s="9" t="str">
        <f t="shared" si="23"/>
        <v/>
      </c>
      <c r="W199" s="9">
        <f t="shared" si="24"/>
        <v>50.4</v>
      </c>
      <c r="X199" s="9">
        <f t="shared" si="25"/>
        <v>7</v>
      </c>
      <c r="Y199" s="9" t="str">
        <f t="shared" si="26"/>
        <v/>
      </c>
      <c r="Z199" s="9">
        <f t="shared" si="27"/>
        <v>53</v>
      </c>
      <c r="AA199" s="3" t="s">
        <v>519</v>
      </c>
      <c r="AB199" s="3" t="s">
        <v>503</v>
      </c>
    </row>
    <row r="200" spans="1:28" ht="76" customHeight="1">
      <c r="A200" s="6" t="s">
        <v>97</v>
      </c>
      <c r="B200" s="3" t="s">
        <v>205</v>
      </c>
      <c r="C200" s="3" t="s">
        <v>504</v>
      </c>
      <c r="D200" s="16" t="s">
        <v>505</v>
      </c>
      <c r="E200" s="8">
        <v>1</v>
      </c>
      <c r="F200" s="12" t="str">
        <f t="shared" si="21"/>
        <v>50 × 40 × 40</v>
      </c>
      <c r="G200" s="3" t="s">
        <v>492</v>
      </c>
      <c r="H200" s="3" t="s">
        <v>493</v>
      </c>
      <c r="I200" s="3" t="s">
        <v>506</v>
      </c>
      <c r="J200" s="3" t="s">
        <v>494</v>
      </c>
      <c r="K200" s="3" t="s">
        <v>22</v>
      </c>
      <c r="L200" s="10">
        <v>40</v>
      </c>
      <c r="M200" s="10">
        <v>30</v>
      </c>
      <c r="N200" s="10">
        <v>30</v>
      </c>
      <c r="O200" s="11">
        <v>0</v>
      </c>
      <c r="P200" s="10">
        <v>0</v>
      </c>
      <c r="Q200" s="10">
        <v>0</v>
      </c>
      <c r="R200" s="10">
        <v>0</v>
      </c>
      <c r="S200" s="10">
        <v>3</v>
      </c>
      <c r="T200" s="10">
        <v>5</v>
      </c>
      <c r="U200" s="9">
        <f t="shared" si="22"/>
        <v>40</v>
      </c>
      <c r="V200" s="9">
        <f t="shared" si="23"/>
        <v>30</v>
      </c>
      <c r="W200" s="9">
        <f t="shared" si="24"/>
        <v>30</v>
      </c>
      <c r="X200" s="9">
        <f t="shared" si="25"/>
        <v>50</v>
      </c>
      <c r="Y200" s="9">
        <f t="shared" si="26"/>
        <v>40</v>
      </c>
      <c r="Z200" s="9">
        <f t="shared" si="27"/>
        <v>40</v>
      </c>
      <c r="AA200" s="3" t="s">
        <v>520</v>
      </c>
      <c r="AB200" s="3" t="s">
        <v>508</v>
      </c>
    </row>
    <row r="201" spans="1:28" ht="76" customHeight="1">
      <c r="A201" s="6" t="s">
        <v>97</v>
      </c>
      <c r="B201" s="3" t="s">
        <v>208</v>
      </c>
      <c r="C201" s="3" t="s">
        <v>491</v>
      </c>
      <c r="D201" s="14" t="s">
        <v>245</v>
      </c>
      <c r="E201" s="8">
        <v>1</v>
      </c>
      <c r="F201" s="12" t="str">
        <f t="shared" si="21"/>
        <v>95 × 75 × 40</v>
      </c>
      <c r="G201" s="3" t="s">
        <v>492</v>
      </c>
      <c r="H201" s="3" t="s">
        <v>493</v>
      </c>
      <c r="I201" s="3" t="str">
        <f>'Quantity grades'!G81</f>
        <v>H13 / 1.2083</v>
      </c>
      <c r="J201" s="3" t="s">
        <v>494</v>
      </c>
      <c r="K201" s="3" t="s">
        <v>22</v>
      </c>
      <c r="L201" s="10">
        <v>30</v>
      </c>
      <c r="M201" s="10">
        <v>15</v>
      </c>
      <c r="N201" s="10">
        <v>6</v>
      </c>
      <c r="O201" s="11">
        <v>0.18</v>
      </c>
      <c r="P201" s="10">
        <v>25</v>
      </c>
      <c r="Q201" s="10">
        <v>25</v>
      </c>
      <c r="R201" s="10">
        <v>25</v>
      </c>
      <c r="S201" s="10">
        <v>3</v>
      </c>
      <c r="T201" s="10">
        <v>5</v>
      </c>
      <c r="U201" s="9">
        <f t="shared" si="22"/>
        <v>85.4</v>
      </c>
      <c r="V201" s="9">
        <f t="shared" si="23"/>
        <v>67.7</v>
      </c>
      <c r="W201" s="9">
        <f t="shared" si="24"/>
        <v>32.08</v>
      </c>
      <c r="X201" s="9">
        <f t="shared" si="25"/>
        <v>95</v>
      </c>
      <c r="Y201" s="9">
        <f t="shared" si="26"/>
        <v>75</v>
      </c>
      <c r="Z201" s="9">
        <f t="shared" si="27"/>
        <v>40</v>
      </c>
      <c r="AA201" s="3" t="s">
        <v>521</v>
      </c>
      <c r="AB201" s="3" t="s">
        <v>496</v>
      </c>
    </row>
    <row r="202" spans="1:28" ht="76" customHeight="1">
      <c r="A202" s="6" t="s">
        <v>97</v>
      </c>
      <c r="B202" s="3" t="s">
        <v>208</v>
      </c>
      <c r="C202" s="3" t="s">
        <v>497</v>
      </c>
      <c r="D202" s="13" t="s">
        <v>498</v>
      </c>
      <c r="E202" s="8">
        <v>1</v>
      </c>
      <c r="F202" s="12" t="str">
        <f t="shared" si="21"/>
        <v>95 × 75 × 40</v>
      </c>
      <c r="G202" s="3" t="s">
        <v>492</v>
      </c>
      <c r="H202" s="3" t="s">
        <v>493</v>
      </c>
      <c r="I202" s="3" t="str">
        <f>'Quantity grades'!G81</f>
        <v>H13 / 1.2083</v>
      </c>
      <c r="J202" s="3" t="s">
        <v>494</v>
      </c>
      <c r="K202" s="3" t="s">
        <v>22</v>
      </c>
      <c r="L202" s="10">
        <v>30</v>
      </c>
      <c r="M202" s="10">
        <v>15</v>
      </c>
      <c r="N202" s="10">
        <v>6</v>
      </c>
      <c r="O202" s="11">
        <v>0.18</v>
      </c>
      <c r="P202" s="10">
        <v>25</v>
      </c>
      <c r="Q202" s="10">
        <v>25</v>
      </c>
      <c r="R202" s="10">
        <v>25</v>
      </c>
      <c r="S202" s="10">
        <v>3</v>
      </c>
      <c r="T202" s="10">
        <v>5</v>
      </c>
      <c r="U202" s="9">
        <f t="shared" si="22"/>
        <v>85.4</v>
      </c>
      <c r="V202" s="9">
        <f t="shared" si="23"/>
        <v>67.7</v>
      </c>
      <c r="W202" s="9">
        <f t="shared" si="24"/>
        <v>32.08</v>
      </c>
      <c r="X202" s="9">
        <f t="shared" si="25"/>
        <v>95</v>
      </c>
      <c r="Y202" s="9">
        <f t="shared" si="26"/>
        <v>75</v>
      </c>
      <c r="Z202" s="9">
        <f t="shared" si="27"/>
        <v>40</v>
      </c>
      <c r="AA202" s="3" t="s">
        <v>522</v>
      </c>
      <c r="AB202" s="3" t="s">
        <v>500</v>
      </c>
    </row>
    <row r="203" spans="1:28" ht="76" customHeight="1">
      <c r="A203" s="6" t="s">
        <v>97</v>
      </c>
      <c r="B203" s="3" t="s">
        <v>208</v>
      </c>
      <c r="C203" s="3" t="s">
        <v>501</v>
      </c>
      <c r="D203" s="13" t="s">
        <v>364</v>
      </c>
      <c r="E203" s="8">
        <v>1</v>
      </c>
      <c r="F203" s="12" t="str">
        <f t="shared" si="21"/>
        <v>Ø7 × 53</v>
      </c>
      <c r="G203" s="3" t="s">
        <v>492</v>
      </c>
      <c r="H203" s="3" t="s">
        <v>493</v>
      </c>
      <c r="I203" s="3" t="s">
        <v>402</v>
      </c>
      <c r="J203" s="3" t="s">
        <v>494</v>
      </c>
      <c r="K203" s="3" t="s">
        <v>29</v>
      </c>
      <c r="L203" s="10">
        <v>4</v>
      </c>
      <c r="M203" s="15">
        <v>4</v>
      </c>
      <c r="N203" s="10">
        <v>30</v>
      </c>
      <c r="O203" s="11">
        <v>0.18</v>
      </c>
      <c r="P203" s="10">
        <v>0</v>
      </c>
      <c r="Q203" s="10">
        <v>0</v>
      </c>
      <c r="R203" s="10">
        <v>15</v>
      </c>
      <c r="S203" s="10">
        <v>1</v>
      </c>
      <c r="T203" s="10">
        <v>1</v>
      </c>
      <c r="U203" s="9">
        <f t="shared" si="22"/>
        <v>4.72</v>
      </c>
      <c r="V203" s="9" t="str">
        <f t="shared" si="23"/>
        <v/>
      </c>
      <c r="W203" s="9">
        <f t="shared" si="24"/>
        <v>50.4</v>
      </c>
      <c r="X203" s="9">
        <f t="shared" si="25"/>
        <v>7</v>
      </c>
      <c r="Y203" s="9" t="str">
        <f t="shared" si="26"/>
        <v/>
      </c>
      <c r="Z203" s="9">
        <f t="shared" si="27"/>
        <v>53</v>
      </c>
      <c r="AA203" s="3" t="s">
        <v>523</v>
      </c>
      <c r="AB203" s="3" t="s">
        <v>503</v>
      </c>
    </row>
    <row r="204" spans="1:28" ht="76" customHeight="1">
      <c r="A204" s="6" t="s">
        <v>97</v>
      </c>
      <c r="B204" s="3" t="s">
        <v>208</v>
      </c>
      <c r="C204" s="3" t="s">
        <v>504</v>
      </c>
      <c r="D204" s="16" t="s">
        <v>505</v>
      </c>
      <c r="E204" s="8">
        <v>1</v>
      </c>
      <c r="F204" s="12" t="str">
        <f t="shared" si="21"/>
        <v>50 × 40 × 40</v>
      </c>
      <c r="G204" s="3" t="s">
        <v>492</v>
      </c>
      <c r="H204" s="3" t="s">
        <v>493</v>
      </c>
      <c r="I204" s="3" t="s">
        <v>506</v>
      </c>
      <c r="J204" s="3" t="s">
        <v>494</v>
      </c>
      <c r="K204" s="3" t="s">
        <v>22</v>
      </c>
      <c r="L204" s="10">
        <v>40</v>
      </c>
      <c r="M204" s="10">
        <v>30</v>
      </c>
      <c r="N204" s="10">
        <v>30</v>
      </c>
      <c r="O204" s="11">
        <v>0</v>
      </c>
      <c r="P204" s="10">
        <v>0</v>
      </c>
      <c r="Q204" s="10">
        <v>0</v>
      </c>
      <c r="R204" s="10">
        <v>0</v>
      </c>
      <c r="S204" s="10">
        <v>3</v>
      </c>
      <c r="T204" s="10">
        <v>5</v>
      </c>
      <c r="U204" s="9">
        <f t="shared" si="22"/>
        <v>40</v>
      </c>
      <c r="V204" s="9">
        <f t="shared" si="23"/>
        <v>30</v>
      </c>
      <c r="W204" s="9">
        <f t="shared" si="24"/>
        <v>30</v>
      </c>
      <c r="X204" s="9">
        <f t="shared" si="25"/>
        <v>50</v>
      </c>
      <c r="Y204" s="9">
        <f t="shared" si="26"/>
        <v>40</v>
      </c>
      <c r="Z204" s="9">
        <f t="shared" si="27"/>
        <v>40</v>
      </c>
      <c r="AA204" s="3" t="s">
        <v>524</v>
      </c>
      <c r="AB204" s="3" t="s">
        <v>508</v>
      </c>
    </row>
    <row r="205" spans="1:28" ht="76" customHeight="1">
      <c r="A205" s="6" t="s">
        <v>97</v>
      </c>
      <c r="B205" s="3" t="s">
        <v>211</v>
      </c>
      <c r="C205" s="3" t="s">
        <v>491</v>
      </c>
      <c r="D205" s="14" t="s">
        <v>245</v>
      </c>
      <c r="E205" s="8">
        <v>1</v>
      </c>
      <c r="F205" s="12" t="str">
        <f t="shared" si="21"/>
        <v>95 × 75 × 40</v>
      </c>
      <c r="G205" s="3" t="s">
        <v>492</v>
      </c>
      <c r="H205" s="3" t="s">
        <v>493</v>
      </c>
      <c r="I205" s="3" t="str">
        <f>'Quantity grades'!G82</f>
        <v>Premium hardened steel / PM tool steel; localized carbide</v>
      </c>
      <c r="J205" s="3" t="s">
        <v>494</v>
      </c>
      <c r="K205" s="3" t="s">
        <v>22</v>
      </c>
      <c r="L205" s="10">
        <v>30</v>
      </c>
      <c r="M205" s="10">
        <v>15</v>
      </c>
      <c r="N205" s="10">
        <v>6</v>
      </c>
      <c r="O205" s="11">
        <v>0.18</v>
      </c>
      <c r="P205" s="10">
        <v>25</v>
      </c>
      <c r="Q205" s="10">
        <v>25</v>
      </c>
      <c r="R205" s="10">
        <v>25</v>
      </c>
      <c r="S205" s="10">
        <v>3</v>
      </c>
      <c r="T205" s="10">
        <v>5</v>
      </c>
      <c r="U205" s="9">
        <f t="shared" si="22"/>
        <v>85.4</v>
      </c>
      <c r="V205" s="9">
        <f t="shared" si="23"/>
        <v>67.7</v>
      </c>
      <c r="W205" s="9">
        <f t="shared" si="24"/>
        <v>32.08</v>
      </c>
      <c r="X205" s="9">
        <f t="shared" si="25"/>
        <v>95</v>
      </c>
      <c r="Y205" s="9">
        <f t="shared" si="26"/>
        <v>75</v>
      </c>
      <c r="Z205" s="9">
        <f t="shared" si="27"/>
        <v>40</v>
      </c>
      <c r="AA205" s="3" t="s">
        <v>525</v>
      </c>
      <c r="AB205" s="3" t="s">
        <v>496</v>
      </c>
    </row>
    <row r="206" spans="1:28" ht="76" customHeight="1">
      <c r="A206" s="6" t="s">
        <v>97</v>
      </c>
      <c r="B206" s="3" t="s">
        <v>211</v>
      </c>
      <c r="C206" s="3" t="s">
        <v>497</v>
      </c>
      <c r="D206" s="13" t="s">
        <v>498</v>
      </c>
      <c r="E206" s="8">
        <v>1</v>
      </c>
      <c r="F206" s="12" t="str">
        <f t="shared" si="21"/>
        <v>95 × 75 × 40</v>
      </c>
      <c r="G206" s="3" t="s">
        <v>492</v>
      </c>
      <c r="H206" s="3" t="s">
        <v>493</v>
      </c>
      <c r="I206" s="3" t="str">
        <f>'Quantity grades'!G82</f>
        <v>Premium hardened steel / PM tool steel; localized carbide</v>
      </c>
      <c r="J206" s="3" t="s">
        <v>494</v>
      </c>
      <c r="K206" s="3" t="s">
        <v>22</v>
      </c>
      <c r="L206" s="10">
        <v>30</v>
      </c>
      <c r="M206" s="10">
        <v>15</v>
      </c>
      <c r="N206" s="10">
        <v>6</v>
      </c>
      <c r="O206" s="11">
        <v>0.18</v>
      </c>
      <c r="P206" s="10">
        <v>25</v>
      </c>
      <c r="Q206" s="10">
        <v>25</v>
      </c>
      <c r="R206" s="10">
        <v>25</v>
      </c>
      <c r="S206" s="10">
        <v>3</v>
      </c>
      <c r="T206" s="10">
        <v>5</v>
      </c>
      <c r="U206" s="9">
        <f t="shared" si="22"/>
        <v>85.4</v>
      </c>
      <c r="V206" s="9">
        <f t="shared" si="23"/>
        <v>67.7</v>
      </c>
      <c r="W206" s="9">
        <f t="shared" si="24"/>
        <v>32.08</v>
      </c>
      <c r="X206" s="9">
        <f t="shared" si="25"/>
        <v>95</v>
      </c>
      <c r="Y206" s="9">
        <f t="shared" si="26"/>
        <v>75</v>
      </c>
      <c r="Z206" s="9">
        <f t="shared" si="27"/>
        <v>40</v>
      </c>
      <c r="AA206" s="3" t="s">
        <v>526</v>
      </c>
      <c r="AB206" s="3" t="s">
        <v>500</v>
      </c>
    </row>
    <row r="207" spans="1:28" ht="76" customHeight="1">
      <c r="A207" s="6" t="s">
        <v>97</v>
      </c>
      <c r="B207" s="3" t="s">
        <v>211</v>
      </c>
      <c r="C207" s="3" t="s">
        <v>501</v>
      </c>
      <c r="D207" s="13" t="s">
        <v>364</v>
      </c>
      <c r="E207" s="8">
        <v>1</v>
      </c>
      <c r="F207" s="12" t="str">
        <f t="shared" si="21"/>
        <v>Ø7 × 53</v>
      </c>
      <c r="G207" s="3" t="s">
        <v>492</v>
      </c>
      <c r="H207" s="3" t="s">
        <v>493</v>
      </c>
      <c r="I207" s="3" t="s">
        <v>402</v>
      </c>
      <c r="J207" s="3" t="s">
        <v>494</v>
      </c>
      <c r="K207" s="3" t="s">
        <v>29</v>
      </c>
      <c r="L207" s="10">
        <v>4</v>
      </c>
      <c r="M207" s="15">
        <v>4</v>
      </c>
      <c r="N207" s="10">
        <v>30</v>
      </c>
      <c r="O207" s="11">
        <v>0.18</v>
      </c>
      <c r="P207" s="10">
        <v>0</v>
      </c>
      <c r="Q207" s="10">
        <v>0</v>
      </c>
      <c r="R207" s="10">
        <v>15</v>
      </c>
      <c r="S207" s="10">
        <v>1</v>
      </c>
      <c r="T207" s="10">
        <v>1</v>
      </c>
      <c r="U207" s="9">
        <f t="shared" si="22"/>
        <v>4.72</v>
      </c>
      <c r="V207" s="9" t="str">
        <f t="shared" si="23"/>
        <v/>
      </c>
      <c r="W207" s="9">
        <f t="shared" si="24"/>
        <v>50.4</v>
      </c>
      <c r="X207" s="9">
        <f t="shared" si="25"/>
        <v>7</v>
      </c>
      <c r="Y207" s="9" t="str">
        <f t="shared" si="26"/>
        <v/>
      </c>
      <c r="Z207" s="9">
        <f t="shared" si="27"/>
        <v>53</v>
      </c>
      <c r="AA207" s="3" t="s">
        <v>527</v>
      </c>
      <c r="AB207" s="3" t="s">
        <v>503</v>
      </c>
    </row>
    <row r="208" spans="1:28" ht="76" customHeight="1">
      <c r="A208" s="6" t="s">
        <v>97</v>
      </c>
      <c r="B208" s="3" t="s">
        <v>211</v>
      </c>
      <c r="C208" s="3" t="s">
        <v>504</v>
      </c>
      <c r="D208" s="16" t="s">
        <v>505</v>
      </c>
      <c r="E208" s="8">
        <v>1</v>
      </c>
      <c r="F208" s="12" t="str">
        <f t="shared" si="21"/>
        <v>50 × 40 × 40</v>
      </c>
      <c r="G208" s="3" t="s">
        <v>492</v>
      </c>
      <c r="H208" s="3" t="s">
        <v>493</v>
      </c>
      <c r="I208" s="3" t="s">
        <v>506</v>
      </c>
      <c r="J208" s="3" t="s">
        <v>494</v>
      </c>
      <c r="K208" s="3" t="s">
        <v>22</v>
      </c>
      <c r="L208" s="10">
        <v>40</v>
      </c>
      <c r="M208" s="10">
        <v>30</v>
      </c>
      <c r="N208" s="10">
        <v>30</v>
      </c>
      <c r="O208" s="11">
        <v>0</v>
      </c>
      <c r="P208" s="10">
        <v>0</v>
      </c>
      <c r="Q208" s="10">
        <v>0</v>
      </c>
      <c r="R208" s="10">
        <v>0</v>
      </c>
      <c r="S208" s="10">
        <v>3</v>
      </c>
      <c r="T208" s="10">
        <v>5</v>
      </c>
      <c r="U208" s="9">
        <f t="shared" si="22"/>
        <v>40</v>
      </c>
      <c r="V208" s="9">
        <f t="shared" si="23"/>
        <v>30</v>
      </c>
      <c r="W208" s="9">
        <f t="shared" si="24"/>
        <v>30</v>
      </c>
      <c r="X208" s="9">
        <f t="shared" si="25"/>
        <v>50</v>
      </c>
      <c r="Y208" s="9">
        <f t="shared" si="26"/>
        <v>40</v>
      </c>
      <c r="Z208" s="9">
        <f t="shared" si="27"/>
        <v>40</v>
      </c>
      <c r="AA208" s="3" t="s">
        <v>528</v>
      </c>
      <c r="AB208" s="3" t="s">
        <v>508</v>
      </c>
    </row>
    <row r="209" spans="1:28" ht="76" customHeight="1">
      <c r="A209" s="6" t="s">
        <v>105</v>
      </c>
      <c r="B209" s="3" t="s">
        <v>187</v>
      </c>
      <c r="C209" s="3" t="s">
        <v>529</v>
      </c>
      <c r="D209" s="14" t="s">
        <v>245</v>
      </c>
      <c r="E209" s="8">
        <v>1</v>
      </c>
      <c r="F209" s="12" t="str">
        <f t="shared" si="21"/>
        <v>190 × 190 × 75</v>
      </c>
      <c r="G209" s="3" t="s">
        <v>530</v>
      </c>
      <c r="H209" s="3" t="s">
        <v>531</v>
      </c>
      <c r="I209" s="3" t="s">
        <v>268</v>
      </c>
      <c r="J209" s="3" t="s">
        <v>532</v>
      </c>
      <c r="K209" s="3" t="s">
        <v>22</v>
      </c>
      <c r="L209" s="10">
        <v>100</v>
      </c>
      <c r="M209" s="10">
        <v>100</v>
      </c>
      <c r="N209" s="10">
        <v>50</v>
      </c>
      <c r="O209" s="11">
        <v>0</v>
      </c>
      <c r="P209" s="10">
        <v>40</v>
      </c>
      <c r="Q209" s="10">
        <v>40</v>
      </c>
      <c r="R209" s="10">
        <v>15</v>
      </c>
      <c r="S209" s="10">
        <v>3</v>
      </c>
      <c r="T209" s="10">
        <v>5</v>
      </c>
      <c r="U209" s="9">
        <f t="shared" si="22"/>
        <v>180</v>
      </c>
      <c r="V209" s="9">
        <f t="shared" si="23"/>
        <v>180</v>
      </c>
      <c r="W209" s="9">
        <f t="shared" si="24"/>
        <v>65</v>
      </c>
      <c r="X209" s="9">
        <f t="shared" si="25"/>
        <v>190</v>
      </c>
      <c r="Y209" s="9">
        <f t="shared" si="26"/>
        <v>190</v>
      </c>
      <c r="Z209" s="9">
        <f t="shared" si="27"/>
        <v>75</v>
      </c>
      <c r="AA209" s="3" t="s">
        <v>533</v>
      </c>
      <c r="AB209" s="3" t="s">
        <v>534</v>
      </c>
    </row>
    <row r="210" spans="1:28" ht="76" customHeight="1">
      <c r="A210" s="6" t="s">
        <v>105</v>
      </c>
      <c r="B210" s="3" t="s">
        <v>199</v>
      </c>
      <c r="C210" s="3" t="s">
        <v>529</v>
      </c>
      <c r="D210" s="14" t="s">
        <v>245</v>
      </c>
      <c r="E210" s="8">
        <v>1</v>
      </c>
      <c r="F210" s="12" t="str">
        <f t="shared" si="21"/>
        <v>190 × 190 × 75</v>
      </c>
      <c r="G210" s="3" t="s">
        <v>530</v>
      </c>
      <c r="H210" s="3" t="s">
        <v>531</v>
      </c>
      <c r="I210" s="3" t="s">
        <v>268</v>
      </c>
      <c r="J210" s="3" t="s">
        <v>532</v>
      </c>
      <c r="K210" s="3" t="s">
        <v>22</v>
      </c>
      <c r="L210" s="10">
        <v>100</v>
      </c>
      <c r="M210" s="10">
        <v>100</v>
      </c>
      <c r="N210" s="10">
        <v>50</v>
      </c>
      <c r="O210" s="11">
        <v>0</v>
      </c>
      <c r="P210" s="10">
        <v>40</v>
      </c>
      <c r="Q210" s="10">
        <v>40</v>
      </c>
      <c r="R210" s="10">
        <v>15</v>
      </c>
      <c r="S210" s="10">
        <v>3</v>
      </c>
      <c r="T210" s="10">
        <v>5</v>
      </c>
      <c r="U210" s="9">
        <f t="shared" si="22"/>
        <v>180</v>
      </c>
      <c r="V210" s="9">
        <f t="shared" si="23"/>
        <v>180</v>
      </c>
      <c r="W210" s="9">
        <f t="shared" si="24"/>
        <v>65</v>
      </c>
      <c r="X210" s="9">
        <f t="shared" si="25"/>
        <v>190</v>
      </c>
      <c r="Y210" s="9">
        <f t="shared" si="26"/>
        <v>190</v>
      </c>
      <c r="Z210" s="9">
        <f t="shared" si="27"/>
        <v>75</v>
      </c>
      <c r="AA210" s="3" t="s">
        <v>535</v>
      </c>
      <c r="AB210" s="3" t="s">
        <v>534</v>
      </c>
    </row>
    <row r="211" spans="1:28" ht="76" customHeight="1">
      <c r="A211" s="6" t="s">
        <v>105</v>
      </c>
      <c r="B211" s="3" t="s">
        <v>202</v>
      </c>
      <c r="C211" s="3" t="s">
        <v>529</v>
      </c>
      <c r="D211" s="14" t="s">
        <v>245</v>
      </c>
      <c r="E211" s="8">
        <v>1</v>
      </c>
      <c r="F211" s="12" t="str">
        <f t="shared" si="21"/>
        <v>190 × 190 × 75</v>
      </c>
      <c r="G211" s="3" t="s">
        <v>530</v>
      </c>
      <c r="H211" s="3" t="s">
        <v>531</v>
      </c>
      <c r="I211" s="3" t="s">
        <v>268</v>
      </c>
      <c r="J211" s="3" t="s">
        <v>532</v>
      </c>
      <c r="K211" s="3" t="s">
        <v>22</v>
      </c>
      <c r="L211" s="10">
        <v>100</v>
      </c>
      <c r="M211" s="10">
        <v>100</v>
      </c>
      <c r="N211" s="10">
        <v>50</v>
      </c>
      <c r="O211" s="11">
        <v>0</v>
      </c>
      <c r="P211" s="10">
        <v>40</v>
      </c>
      <c r="Q211" s="10">
        <v>40</v>
      </c>
      <c r="R211" s="10">
        <v>15</v>
      </c>
      <c r="S211" s="10">
        <v>3</v>
      </c>
      <c r="T211" s="10">
        <v>5</v>
      </c>
      <c r="U211" s="9">
        <f t="shared" si="22"/>
        <v>180</v>
      </c>
      <c r="V211" s="9">
        <f t="shared" si="23"/>
        <v>180</v>
      </c>
      <c r="W211" s="9">
        <f t="shared" si="24"/>
        <v>65</v>
      </c>
      <c r="X211" s="9">
        <f t="shared" si="25"/>
        <v>190</v>
      </c>
      <c r="Y211" s="9">
        <f t="shared" si="26"/>
        <v>190</v>
      </c>
      <c r="Z211" s="9">
        <f t="shared" si="27"/>
        <v>75</v>
      </c>
      <c r="AA211" s="3" t="s">
        <v>536</v>
      </c>
      <c r="AB211" s="3" t="s">
        <v>534</v>
      </c>
    </row>
    <row r="212" spans="1:28" ht="76" customHeight="1">
      <c r="A212" s="6" t="s">
        <v>105</v>
      </c>
      <c r="B212" s="3" t="s">
        <v>205</v>
      </c>
      <c r="C212" s="3" t="s">
        <v>529</v>
      </c>
      <c r="D212" s="14" t="s">
        <v>245</v>
      </c>
      <c r="E212" s="8">
        <v>1</v>
      </c>
      <c r="F212" s="12" t="str">
        <f t="shared" si="21"/>
        <v>190 × 190 × 75</v>
      </c>
      <c r="G212" s="3" t="s">
        <v>530</v>
      </c>
      <c r="H212" s="3" t="s">
        <v>531</v>
      </c>
      <c r="I212" s="3" t="s">
        <v>268</v>
      </c>
      <c r="J212" s="3" t="s">
        <v>532</v>
      </c>
      <c r="K212" s="3" t="s">
        <v>22</v>
      </c>
      <c r="L212" s="10">
        <v>100</v>
      </c>
      <c r="M212" s="10">
        <v>100</v>
      </c>
      <c r="N212" s="10">
        <v>50</v>
      </c>
      <c r="O212" s="11">
        <v>0</v>
      </c>
      <c r="P212" s="10">
        <v>40</v>
      </c>
      <c r="Q212" s="10">
        <v>40</v>
      </c>
      <c r="R212" s="10">
        <v>15</v>
      </c>
      <c r="S212" s="10">
        <v>3</v>
      </c>
      <c r="T212" s="10">
        <v>5</v>
      </c>
      <c r="U212" s="9">
        <f t="shared" si="22"/>
        <v>180</v>
      </c>
      <c r="V212" s="9">
        <f t="shared" si="23"/>
        <v>180</v>
      </c>
      <c r="W212" s="9">
        <f t="shared" si="24"/>
        <v>65</v>
      </c>
      <c r="X212" s="9">
        <f t="shared" si="25"/>
        <v>190</v>
      </c>
      <c r="Y212" s="9">
        <f t="shared" si="26"/>
        <v>190</v>
      </c>
      <c r="Z212" s="9">
        <f t="shared" si="27"/>
        <v>75</v>
      </c>
      <c r="AA212" s="3" t="s">
        <v>537</v>
      </c>
      <c r="AB212" s="3" t="s">
        <v>534</v>
      </c>
    </row>
    <row r="213" spans="1:28" ht="76" customHeight="1">
      <c r="A213" s="6" t="s">
        <v>105</v>
      </c>
      <c r="B213" s="3" t="s">
        <v>208</v>
      </c>
      <c r="C213" s="3" t="s">
        <v>529</v>
      </c>
      <c r="D213" s="14" t="s">
        <v>245</v>
      </c>
      <c r="E213" s="8">
        <v>1</v>
      </c>
      <c r="F213" s="12" t="str">
        <f t="shared" si="21"/>
        <v>190 × 190 × 75</v>
      </c>
      <c r="G213" s="3" t="s">
        <v>530</v>
      </c>
      <c r="H213" s="3" t="s">
        <v>531</v>
      </c>
      <c r="I213" s="3" t="s">
        <v>268</v>
      </c>
      <c r="J213" s="3" t="s">
        <v>532</v>
      </c>
      <c r="K213" s="3" t="s">
        <v>22</v>
      </c>
      <c r="L213" s="10">
        <v>100</v>
      </c>
      <c r="M213" s="10">
        <v>100</v>
      </c>
      <c r="N213" s="10">
        <v>50</v>
      </c>
      <c r="O213" s="11">
        <v>0</v>
      </c>
      <c r="P213" s="10">
        <v>40</v>
      </c>
      <c r="Q213" s="10">
        <v>40</v>
      </c>
      <c r="R213" s="10">
        <v>15</v>
      </c>
      <c r="S213" s="10">
        <v>3</v>
      </c>
      <c r="T213" s="10">
        <v>5</v>
      </c>
      <c r="U213" s="9">
        <f t="shared" si="22"/>
        <v>180</v>
      </c>
      <c r="V213" s="9">
        <f t="shared" si="23"/>
        <v>180</v>
      </c>
      <c r="W213" s="9">
        <f t="shared" si="24"/>
        <v>65</v>
      </c>
      <c r="X213" s="9">
        <f t="shared" si="25"/>
        <v>190</v>
      </c>
      <c r="Y213" s="9">
        <f t="shared" si="26"/>
        <v>190</v>
      </c>
      <c r="Z213" s="9">
        <f t="shared" si="27"/>
        <v>75</v>
      </c>
      <c r="AA213" s="3" t="s">
        <v>538</v>
      </c>
      <c r="AB213" s="3" t="s">
        <v>534</v>
      </c>
    </row>
    <row r="214" spans="1:28" ht="76" customHeight="1">
      <c r="A214" s="6" t="s">
        <v>105</v>
      </c>
      <c r="B214" s="3" t="s">
        <v>211</v>
      </c>
      <c r="C214" s="3" t="s">
        <v>529</v>
      </c>
      <c r="D214" s="14" t="s">
        <v>245</v>
      </c>
      <c r="E214" s="8">
        <v>1</v>
      </c>
      <c r="F214" s="12" t="str">
        <f t="shared" si="21"/>
        <v>190 × 190 × 75</v>
      </c>
      <c r="G214" s="3" t="s">
        <v>530</v>
      </c>
      <c r="H214" s="3" t="s">
        <v>531</v>
      </c>
      <c r="I214" s="3" t="s">
        <v>268</v>
      </c>
      <c r="J214" s="3" t="s">
        <v>532</v>
      </c>
      <c r="K214" s="3" t="s">
        <v>22</v>
      </c>
      <c r="L214" s="10">
        <v>100</v>
      </c>
      <c r="M214" s="10">
        <v>100</v>
      </c>
      <c r="N214" s="10">
        <v>50</v>
      </c>
      <c r="O214" s="11">
        <v>0</v>
      </c>
      <c r="P214" s="10">
        <v>40</v>
      </c>
      <c r="Q214" s="10">
        <v>40</v>
      </c>
      <c r="R214" s="10">
        <v>15</v>
      </c>
      <c r="S214" s="10">
        <v>3</v>
      </c>
      <c r="T214" s="10">
        <v>5</v>
      </c>
      <c r="U214" s="9">
        <f t="shared" si="22"/>
        <v>180</v>
      </c>
      <c r="V214" s="9">
        <f t="shared" si="23"/>
        <v>180</v>
      </c>
      <c r="W214" s="9">
        <f t="shared" si="24"/>
        <v>65</v>
      </c>
      <c r="X214" s="9">
        <f t="shared" si="25"/>
        <v>190</v>
      </c>
      <c r="Y214" s="9">
        <f t="shared" si="26"/>
        <v>190</v>
      </c>
      <c r="Z214" s="9">
        <f t="shared" si="27"/>
        <v>75</v>
      </c>
      <c r="AA214" s="3" t="s">
        <v>539</v>
      </c>
      <c r="AB214" s="3" t="s">
        <v>534</v>
      </c>
    </row>
    <row r="215" spans="1:28" ht="76" customHeight="1">
      <c r="A215" s="6" t="s">
        <v>110</v>
      </c>
      <c r="B215" s="3" t="s">
        <v>187</v>
      </c>
      <c r="C215" s="3" t="s">
        <v>540</v>
      </c>
      <c r="D215" s="14" t="s">
        <v>196</v>
      </c>
      <c r="E215" s="8">
        <v>2</v>
      </c>
      <c r="F215" s="12" t="str">
        <f t="shared" si="21"/>
        <v>570 × 110 × 60</v>
      </c>
      <c r="G215" s="3" t="s">
        <v>541</v>
      </c>
      <c r="H215" s="3" t="s">
        <v>542</v>
      </c>
      <c r="I215" s="3" t="str">
        <f>'Quantity grades'!G89</f>
        <v>P20 / suitable tool steel</v>
      </c>
      <c r="J215" s="3" t="s">
        <v>543</v>
      </c>
      <c r="K215" s="3" t="s">
        <v>22</v>
      </c>
      <c r="L215" s="10">
        <v>500</v>
      </c>
      <c r="M215" s="10">
        <v>40</v>
      </c>
      <c r="N215" s="10">
        <v>20</v>
      </c>
      <c r="O215" s="11">
        <v>0</v>
      </c>
      <c r="P215" s="10">
        <v>30</v>
      </c>
      <c r="Q215" s="10">
        <v>30</v>
      </c>
      <c r="R215" s="10">
        <v>30</v>
      </c>
      <c r="S215" s="10">
        <v>3</v>
      </c>
      <c r="T215" s="10">
        <v>5</v>
      </c>
      <c r="U215" s="9">
        <f t="shared" si="22"/>
        <v>560</v>
      </c>
      <c r="V215" s="9">
        <f t="shared" si="23"/>
        <v>100</v>
      </c>
      <c r="W215" s="9">
        <f t="shared" si="24"/>
        <v>50</v>
      </c>
      <c r="X215" s="9">
        <f t="shared" si="25"/>
        <v>570</v>
      </c>
      <c r="Y215" s="9">
        <f t="shared" si="26"/>
        <v>110</v>
      </c>
      <c r="Z215" s="9">
        <f t="shared" si="27"/>
        <v>60</v>
      </c>
      <c r="AA215" s="3" t="s">
        <v>544</v>
      </c>
      <c r="AB215" s="3" t="s">
        <v>545</v>
      </c>
    </row>
    <row r="216" spans="1:28" ht="76" customHeight="1">
      <c r="A216" s="6" t="s">
        <v>110</v>
      </c>
      <c r="B216" s="3" t="s">
        <v>187</v>
      </c>
      <c r="C216" s="3" t="s">
        <v>546</v>
      </c>
      <c r="D216" s="13" t="s">
        <v>189</v>
      </c>
      <c r="E216" s="8">
        <v>1</v>
      </c>
      <c r="F216" s="12" t="str">
        <f t="shared" si="21"/>
        <v>660 × 40 × 40</v>
      </c>
      <c r="G216" s="3" t="s">
        <v>541</v>
      </c>
      <c r="H216" s="3" t="s">
        <v>542</v>
      </c>
      <c r="I216" s="3" t="s">
        <v>547</v>
      </c>
      <c r="J216" s="3" t="s">
        <v>543</v>
      </c>
      <c r="K216" s="3" t="s">
        <v>22</v>
      </c>
      <c r="L216" s="10">
        <v>650</v>
      </c>
      <c r="M216" s="10">
        <v>34</v>
      </c>
      <c r="N216" s="10">
        <v>34</v>
      </c>
      <c r="O216" s="11">
        <v>0</v>
      </c>
      <c r="P216" s="10">
        <v>0</v>
      </c>
      <c r="Q216" s="10">
        <v>0</v>
      </c>
      <c r="R216" s="10">
        <v>0</v>
      </c>
      <c r="S216" s="10">
        <v>3</v>
      </c>
      <c r="T216" s="10">
        <v>5</v>
      </c>
      <c r="U216" s="9">
        <f t="shared" si="22"/>
        <v>650</v>
      </c>
      <c r="V216" s="9">
        <f t="shared" si="23"/>
        <v>34</v>
      </c>
      <c r="W216" s="9">
        <f t="shared" si="24"/>
        <v>34</v>
      </c>
      <c r="X216" s="9">
        <f t="shared" si="25"/>
        <v>660</v>
      </c>
      <c r="Y216" s="9">
        <f t="shared" si="26"/>
        <v>40</v>
      </c>
      <c r="Z216" s="9">
        <f t="shared" si="27"/>
        <v>40</v>
      </c>
      <c r="AA216" s="3" t="s">
        <v>548</v>
      </c>
      <c r="AB216" s="3" t="s">
        <v>549</v>
      </c>
    </row>
    <row r="217" spans="1:28" ht="76" customHeight="1">
      <c r="A217" s="6" t="s">
        <v>110</v>
      </c>
      <c r="B217" s="3" t="s">
        <v>199</v>
      </c>
      <c r="C217" s="3" t="s">
        <v>540</v>
      </c>
      <c r="D217" s="14" t="s">
        <v>196</v>
      </c>
      <c r="E217" s="8">
        <v>2</v>
      </c>
      <c r="F217" s="12" t="str">
        <f t="shared" si="21"/>
        <v>570 × 110 × 60</v>
      </c>
      <c r="G217" s="3" t="s">
        <v>541</v>
      </c>
      <c r="H217" s="3" t="s">
        <v>542</v>
      </c>
      <c r="I217" s="3" t="str">
        <f>'Quantity grades'!G90</f>
        <v>P20 / D2</v>
      </c>
      <c r="J217" s="3" t="s">
        <v>543</v>
      </c>
      <c r="K217" s="3" t="s">
        <v>22</v>
      </c>
      <c r="L217" s="10">
        <v>500</v>
      </c>
      <c r="M217" s="10">
        <v>40</v>
      </c>
      <c r="N217" s="10">
        <v>20</v>
      </c>
      <c r="O217" s="11">
        <v>0</v>
      </c>
      <c r="P217" s="10">
        <v>30</v>
      </c>
      <c r="Q217" s="10">
        <v>30</v>
      </c>
      <c r="R217" s="10">
        <v>30</v>
      </c>
      <c r="S217" s="10">
        <v>3</v>
      </c>
      <c r="T217" s="10">
        <v>5</v>
      </c>
      <c r="U217" s="9">
        <f t="shared" si="22"/>
        <v>560</v>
      </c>
      <c r="V217" s="9">
        <f t="shared" si="23"/>
        <v>100</v>
      </c>
      <c r="W217" s="9">
        <f t="shared" si="24"/>
        <v>50</v>
      </c>
      <c r="X217" s="9">
        <f t="shared" si="25"/>
        <v>570</v>
      </c>
      <c r="Y217" s="9">
        <f t="shared" si="26"/>
        <v>110</v>
      </c>
      <c r="Z217" s="9">
        <f t="shared" si="27"/>
        <v>60</v>
      </c>
      <c r="AA217" s="3" t="s">
        <v>550</v>
      </c>
      <c r="AB217" s="3" t="s">
        <v>545</v>
      </c>
    </row>
    <row r="218" spans="1:28" ht="76" customHeight="1">
      <c r="A218" s="6" t="s">
        <v>110</v>
      </c>
      <c r="B218" s="3" t="s">
        <v>199</v>
      </c>
      <c r="C218" s="3" t="s">
        <v>546</v>
      </c>
      <c r="D218" s="13" t="s">
        <v>189</v>
      </c>
      <c r="E218" s="8">
        <v>1</v>
      </c>
      <c r="F218" s="12" t="str">
        <f t="shared" si="21"/>
        <v>660 × 40 × 40</v>
      </c>
      <c r="G218" s="3" t="s">
        <v>541</v>
      </c>
      <c r="H218" s="3" t="s">
        <v>542</v>
      </c>
      <c r="I218" s="3" t="s">
        <v>547</v>
      </c>
      <c r="J218" s="3" t="s">
        <v>543</v>
      </c>
      <c r="K218" s="3" t="s">
        <v>22</v>
      </c>
      <c r="L218" s="10">
        <v>650</v>
      </c>
      <c r="M218" s="10">
        <v>34</v>
      </c>
      <c r="N218" s="10">
        <v>34</v>
      </c>
      <c r="O218" s="11">
        <v>0</v>
      </c>
      <c r="P218" s="10">
        <v>0</v>
      </c>
      <c r="Q218" s="10">
        <v>0</v>
      </c>
      <c r="R218" s="10">
        <v>0</v>
      </c>
      <c r="S218" s="10">
        <v>3</v>
      </c>
      <c r="T218" s="10">
        <v>5</v>
      </c>
      <c r="U218" s="9">
        <f t="shared" si="22"/>
        <v>650</v>
      </c>
      <c r="V218" s="9">
        <f t="shared" si="23"/>
        <v>34</v>
      </c>
      <c r="W218" s="9">
        <f t="shared" si="24"/>
        <v>34</v>
      </c>
      <c r="X218" s="9">
        <f t="shared" si="25"/>
        <v>660</v>
      </c>
      <c r="Y218" s="9">
        <f t="shared" si="26"/>
        <v>40</v>
      </c>
      <c r="Z218" s="9">
        <f t="shared" si="27"/>
        <v>40</v>
      </c>
      <c r="AA218" s="3" t="s">
        <v>551</v>
      </c>
      <c r="AB218" s="3" t="s">
        <v>549</v>
      </c>
    </row>
    <row r="219" spans="1:28" ht="76" customHeight="1">
      <c r="A219" s="6" t="s">
        <v>110</v>
      </c>
      <c r="B219" s="3" t="s">
        <v>202</v>
      </c>
      <c r="C219" s="3" t="s">
        <v>540</v>
      </c>
      <c r="D219" s="14" t="s">
        <v>196</v>
      </c>
      <c r="E219" s="8">
        <v>2</v>
      </c>
      <c r="F219" s="12" t="str">
        <f t="shared" si="21"/>
        <v>570 × 110 × 60</v>
      </c>
      <c r="G219" s="3" t="s">
        <v>541</v>
      </c>
      <c r="H219" s="3" t="s">
        <v>542</v>
      </c>
      <c r="I219" s="3" t="str">
        <f>'Quantity grades'!G91</f>
        <v>D2 where abrasion warrants</v>
      </c>
      <c r="J219" s="3" t="s">
        <v>543</v>
      </c>
      <c r="K219" s="3" t="s">
        <v>22</v>
      </c>
      <c r="L219" s="10">
        <v>500</v>
      </c>
      <c r="M219" s="10">
        <v>40</v>
      </c>
      <c r="N219" s="10">
        <v>20</v>
      </c>
      <c r="O219" s="11">
        <v>0</v>
      </c>
      <c r="P219" s="10">
        <v>30</v>
      </c>
      <c r="Q219" s="10">
        <v>30</v>
      </c>
      <c r="R219" s="10">
        <v>30</v>
      </c>
      <c r="S219" s="10">
        <v>3</v>
      </c>
      <c r="T219" s="10">
        <v>5</v>
      </c>
      <c r="U219" s="9">
        <f t="shared" si="22"/>
        <v>560</v>
      </c>
      <c r="V219" s="9">
        <f t="shared" si="23"/>
        <v>100</v>
      </c>
      <c r="W219" s="9">
        <f t="shared" si="24"/>
        <v>50</v>
      </c>
      <c r="X219" s="9">
        <f t="shared" si="25"/>
        <v>570</v>
      </c>
      <c r="Y219" s="9">
        <f t="shared" si="26"/>
        <v>110</v>
      </c>
      <c r="Z219" s="9">
        <f t="shared" si="27"/>
        <v>60</v>
      </c>
      <c r="AA219" s="3" t="s">
        <v>552</v>
      </c>
      <c r="AB219" s="3" t="s">
        <v>545</v>
      </c>
    </row>
    <row r="220" spans="1:28" ht="76" customHeight="1">
      <c r="A220" s="6" t="s">
        <v>110</v>
      </c>
      <c r="B220" s="3" t="s">
        <v>202</v>
      </c>
      <c r="C220" s="3" t="s">
        <v>546</v>
      </c>
      <c r="D220" s="13" t="s">
        <v>189</v>
      </c>
      <c r="E220" s="8">
        <v>1</v>
      </c>
      <c r="F220" s="12" t="str">
        <f t="shared" si="21"/>
        <v>660 × 40 × 40</v>
      </c>
      <c r="G220" s="3" t="s">
        <v>541</v>
      </c>
      <c r="H220" s="3" t="s">
        <v>542</v>
      </c>
      <c r="I220" s="3" t="s">
        <v>547</v>
      </c>
      <c r="J220" s="3" t="s">
        <v>543</v>
      </c>
      <c r="K220" s="3" t="s">
        <v>22</v>
      </c>
      <c r="L220" s="10">
        <v>650</v>
      </c>
      <c r="M220" s="10">
        <v>34</v>
      </c>
      <c r="N220" s="10">
        <v>34</v>
      </c>
      <c r="O220" s="11">
        <v>0</v>
      </c>
      <c r="P220" s="10">
        <v>0</v>
      </c>
      <c r="Q220" s="10">
        <v>0</v>
      </c>
      <c r="R220" s="10">
        <v>0</v>
      </c>
      <c r="S220" s="10">
        <v>3</v>
      </c>
      <c r="T220" s="10">
        <v>5</v>
      </c>
      <c r="U220" s="9">
        <f t="shared" si="22"/>
        <v>650</v>
      </c>
      <c r="V220" s="9">
        <f t="shared" si="23"/>
        <v>34</v>
      </c>
      <c r="W220" s="9">
        <f t="shared" si="24"/>
        <v>34</v>
      </c>
      <c r="X220" s="9">
        <f t="shared" si="25"/>
        <v>660</v>
      </c>
      <c r="Y220" s="9">
        <f t="shared" si="26"/>
        <v>40</v>
      </c>
      <c r="Z220" s="9">
        <f t="shared" si="27"/>
        <v>40</v>
      </c>
      <c r="AA220" s="3" t="s">
        <v>553</v>
      </c>
      <c r="AB220" s="3" t="s">
        <v>549</v>
      </c>
    </row>
    <row r="221" spans="1:28" ht="76" customHeight="1">
      <c r="A221" s="6" t="s">
        <v>110</v>
      </c>
      <c r="B221" s="3" t="s">
        <v>205</v>
      </c>
      <c r="C221" s="3" t="s">
        <v>540</v>
      </c>
      <c r="D221" s="14" t="s">
        <v>196</v>
      </c>
      <c r="E221" s="8">
        <v>2</v>
      </c>
      <c r="F221" s="12" t="str">
        <f t="shared" si="21"/>
        <v>570 × 110 × 60</v>
      </c>
      <c r="G221" s="3" t="s">
        <v>541</v>
      </c>
      <c r="H221" s="3" t="s">
        <v>542</v>
      </c>
      <c r="I221" s="3" t="str">
        <f>'Quantity grades'!G92</f>
        <v>D2</v>
      </c>
      <c r="J221" s="3" t="s">
        <v>543</v>
      </c>
      <c r="K221" s="3" t="s">
        <v>22</v>
      </c>
      <c r="L221" s="10">
        <v>500</v>
      </c>
      <c r="M221" s="10">
        <v>40</v>
      </c>
      <c r="N221" s="10">
        <v>20</v>
      </c>
      <c r="O221" s="11">
        <v>0</v>
      </c>
      <c r="P221" s="10">
        <v>30</v>
      </c>
      <c r="Q221" s="10">
        <v>30</v>
      </c>
      <c r="R221" s="10">
        <v>30</v>
      </c>
      <c r="S221" s="10">
        <v>3</v>
      </c>
      <c r="T221" s="10">
        <v>5</v>
      </c>
      <c r="U221" s="9">
        <f t="shared" si="22"/>
        <v>560</v>
      </c>
      <c r="V221" s="9">
        <f t="shared" si="23"/>
        <v>100</v>
      </c>
      <c r="W221" s="9">
        <f t="shared" si="24"/>
        <v>50</v>
      </c>
      <c r="X221" s="9">
        <f t="shared" si="25"/>
        <v>570</v>
      </c>
      <c r="Y221" s="9">
        <f t="shared" si="26"/>
        <v>110</v>
      </c>
      <c r="Z221" s="9">
        <f t="shared" si="27"/>
        <v>60</v>
      </c>
      <c r="AA221" s="3" t="s">
        <v>554</v>
      </c>
      <c r="AB221" s="3" t="s">
        <v>545</v>
      </c>
    </row>
    <row r="222" spans="1:28" ht="76" customHeight="1">
      <c r="A222" s="6" t="s">
        <v>110</v>
      </c>
      <c r="B222" s="3" t="s">
        <v>205</v>
      </c>
      <c r="C222" s="3" t="s">
        <v>546</v>
      </c>
      <c r="D222" s="13" t="s">
        <v>189</v>
      </c>
      <c r="E222" s="8">
        <v>1</v>
      </c>
      <c r="F222" s="12" t="str">
        <f t="shared" si="21"/>
        <v>660 × 40 × 40</v>
      </c>
      <c r="G222" s="3" t="s">
        <v>541</v>
      </c>
      <c r="H222" s="3" t="s">
        <v>542</v>
      </c>
      <c r="I222" s="3" t="s">
        <v>547</v>
      </c>
      <c r="J222" s="3" t="s">
        <v>543</v>
      </c>
      <c r="K222" s="3" t="s">
        <v>22</v>
      </c>
      <c r="L222" s="10">
        <v>650</v>
      </c>
      <c r="M222" s="10">
        <v>34</v>
      </c>
      <c r="N222" s="10">
        <v>34</v>
      </c>
      <c r="O222" s="11">
        <v>0</v>
      </c>
      <c r="P222" s="10">
        <v>0</v>
      </c>
      <c r="Q222" s="10">
        <v>0</v>
      </c>
      <c r="R222" s="10">
        <v>0</v>
      </c>
      <c r="S222" s="10">
        <v>3</v>
      </c>
      <c r="T222" s="10">
        <v>5</v>
      </c>
      <c r="U222" s="9">
        <f t="shared" si="22"/>
        <v>650</v>
      </c>
      <c r="V222" s="9">
        <f t="shared" si="23"/>
        <v>34</v>
      </c>
      <c r="W222" s="9">
        <f t="shared" si="24"/>
        <v>34</v>
      </c>
      <c r="X222" s="9">
        <f t="shared" si="25"/>
        <v>660</v>
      </c>
      <c r="Y222" s="9">
        <f t="shared" si="26"/>
        <v>40</v>
      </c>
      <c r="Z222" s="9">
        <f t="shared" si="27"/>
        <v>40</v>
      </c>
      <c r="AA222" s="3" t="s">
        <v>555</v>
      </c>
      <c r="AB222" s="3" t="s">
        <v>549</v>
      </c>
    </row>
    <row r="223" spans="1:28" ht="76" customHeight="1">
      <c r="A223" s="6" t="s">
        <v>110</v>
      </c>
      <c r="B223" s="3" t="s">
        <v>208</v>
      </c>
      <c r="C223" s="3" t="s">
        <v>540</v>
      </c>
      <c r="D223" s="14" t="s">
        <v>196</v>
      </c>
      <c r="E223" s="8">
        <v>2</v>
      </c>
      <c r="F223" s="12" t="str">
        <f t="shared" si="21"/>
        <v>570 × 110 × 60</v>
      </c>
      <c r="G223" s="3" t="s">
        <v>541</v>
      </c>
      <c r="H223" s="3" t="s">
        <v>542</v>
      </c>
      <c r="I223" s="3" t="str">
        <f>'Quantity grades'!G93</f>
        <v>D2 / specialist wear steel</v>
      </c>
      <c r="J223" s="3" t="s">
        <v>543</v>
      </c>
      <c r="K223" s="3" t="s">
        <v>22</v>
      </c>
      <c r="L223" s="10">
        <v>500</v>
      </c>
      <c r="M223" s="10">
        <v>40</v>
      </c>
      <c r="N223" s="10">
        <v>20</v>
      </c>
      <c r="O223" s="11">
        <v>0</v>
      </c>
      <c r="P223" s="10">
        <v>30</v>
      </c>
      <c r="Q223" s="10">
        <v>30</v>
      </c>
      <c r="R223" s="10">
        <v>30</v>
      </c>
      <c r="S223" s="10">
        <v>3</v>
      </c>
      <c r="T223" s="10">
        <v>5</v>
      </c>
      <c r="U223" s="9">
        <f t="shared" si="22"/>
        <v>560</v>
      </c>
      <c r="V223" s="9">
        <f t="shared" si="23"/>
        <v>100</v>
      </c>
      <c r="W223" s="9">
        <f t="shared" si="24"/>
        <v>50</v>
      </c>
      <c r="X223" s="9">
        <f t="shared" si="25"/>
        <v>570</v>
      </c>
      <c r="Y223" s="9">
        <f t="shared" si="26"/>
        <v>110</v>
      </c>
      <c r="Z223" s="9">
        <f t="shared" si="27"/>
        <v>60</v>
      </c>
      <c r="AA223" s="3" t="s">
        <v>556</v>
      </c>
      <c r="AB223" s="3" t="s">
        <v>545</v>
      </c>
    </row>
    <row r="224" spans="1:28" ht="76" customHeight="1">
      <c r="A224" s="6" t="s">
        <v>110</v>
      </c>
      <c r="B224" s="3" t="s">
        <v>208</v>
      </c>
      <c r="C224" s="3" t="s">
        <v>546</v>
      </c>
      <c r="D224" s="13" t="s">
        <v>189</v>
      </c>
      <c r="E224" s="8">
        <v>1</v>
      </c>
      <c r="F224" s="12" t="str">
        <f t="shared" si="21"/>
        <v>660 × 40 × 40</v>
      </c>
      <c r="G224" s="3" t="s">
        <v>541</v>
      </c>
      <c r="H224" s="3" t="s">
        <v>542</v>
      </c>
      <c r="I224" s="3" t="s">
        <v>547</v>
      </c>
      <c r="J224" s="3" t="s">
        <v>543</v>
      </c>
      <c r="K224" s="3" t="s">
        <v>22</v>
      </c>
      <c r="L224" s="10">
        <v>650</v>
      </c>
      <c r="M224" s="10">
        <v>34</v>
      </c>
      <c r="N224" s="10">
        <v>34</v>
      </c>
      <c r="O224" s="11">
        <v>0</v>
      </c>
      <c r="P224" s="10">
        <v>0</v>
      </c>
      <c r="Q224" s="10">
        <v>0</v>
      </c>
      <c r="R224" s="10">
        <v>0</v>
      </c>
      <c r="S224" s="10">
        <v>3</v>
      </c>
      <c r="T224" s="10">
        <v>5</v>
      </c>
      <c r="U224" s="9">
        <f t="shared" si="22"/>
        <v>650</v>
      </c>
      <c r="V224" s="9">
        <f t="shared" si="23"/>
        <v>34</v>
      </c>
      <c r="W224" s="9">
        <f t="shared" si="24"/>
        <v>34</v>
      </c>
      <c r="X224" s="9">
        <f t="shared" si="25"/>
        <v>660</v>
      </c>
      <c r="Y224" s="9">
        <f t="shared" si="26"/>
        <v>40</v>
      </c>
      <c r="Z224" s="9">
        <f t="shared" si="27"/>
        <v>40</v>
      </c>
      <c r="AA224" s="3" t="s">
        <v>557</v>
      </c>
      <c r="AB224" s="3" t="s">
        <v>549</v>
      </c>
    </row>
    <row r="225" spans="1:28" ht="76" customHeight="1">
      <c r="A225" s="6" t="s">
        <v>110</v>
      </c>
      <c r="B225" s="3" t="s">
        <v>211</v>
      </c>
      <c r="C225" s="3" t="s">
        <v>540</v>
      </c>
      <c r="D225" s="14" t="s">
        <v>196</v>
      </c>
      <c r="E225" s="8">
        <v>2</v>
      </c>
      <c r="F225" s="12" t="str">
        <f t="shared" si="21"/>
        <v>570 × 110 × 60</v>
      </c>
      <c r="G225" s="3" t="s">
        <v>541</v>
      </c>
      <c r="H225" s="3" t="s">
        <v>542</v>
      </c>
      <c r="I225" s="3" t="str">
        <f>'Quantity grades'!G94</f>
        <v>D2 / specialist steel; localized carbide</v>
      </c>
      <c r="J225" s="3" t="s">
        <v>543</v>
      </c>
      <c r="K225" s="3" t="s">
        <v>22</v>
      </c>
      <c r="L225" s="10">
        <v>500</v>
      </c>
      <c r="M225" s="10">
        <v>40</v>
      </c>
      <c r="N225" s="10">
        <v>20</v>
      </c>
      <c r="O225" s="11">
        <v>0</v>
      </c>
      <c r="P225" s="10">
        <v>30</v>
      </c>
      <c r="Q225" s="10">
        <v>30</v>
      </c>
      <c r="R225" s="10">
        <v>30</v>
      </c>
      <c r="S225" s="10">
        <v>3</v>
      </c>
      <c r="T225" s="10">
        <v>5</v>
      </c>
      <c r="U225" s="9">
        <f t="shared" si="22"/>
        <v>560</v>
      </c>
      <c r="V225" s="9">
        <f t="shared" si="23"/>
        <v>100</v>
      </c>
      <c r="W225" s="9">
        <f t="shared" si="24"/>
        <v>50</v>
      </c>
      <c r="X225" s="9">
        <f t="shared" si="25"/>
        <v>570</v>
      </c>
      <c r="Y225" s="9">
        <f t="shared" si="26"/>
        <v>110</v>
      </c>
      <c r="Z225" s="9">
        <f t="shared" si="27"/>
        <v>60</v>
      </c>
      <c r="AA225" s="3" t="s">
        <v>558</v>
      </c>
      <c r="AB225" s="3" t="s">
        <v>545</v>
      </c>
    </row>
    <row r="226" spans="1:28" ht="76" customHeight="1">
      <c r="A226" s="6" t="s">
        <v>110</v>
      </c>
      <c r="B226" s="3" t="s">
        <v>211</v>
      </c>
      <c r="C226" s="3" t="s">
        <v>546</v>
      </c>
      <c r="D226" s="13" t="s">
        <v>189</v>
      </c>
      <c r="E226" s="8">
        <v>1</v>
      </c>
      <c r="F226" s="12" t="str">
        <f t="shared" si="21"/>
        <v>660 × 40 × 40</v>
      </c>
      <c r="G226" s="3" t="s">
        <v>541</v>
      </c>
      <c r="H226" s="3" t="s">
        <v>542</v>
      </c>
      <c r="I226" s="3" t="s">
        <v>547</v>
      </c>
      <c r="J226" s="3" t="s">
        <v>543</v>
      </c>
      <c r="K226" s="3" t="s">
        <v>22</v>
      </c>
      <c r="L226" s="10">
        <v>650</v>
      </c>
      <c r="M226" s="10">
        <v>34</v>
      </c>
      <c r="N226" s="10">
        <v>34</v>
      </c>
      <c r="O226" s="11">
        <v>0</v>
      </c>
      <c r="P226" s="10">
        <v>0</v>
      </c>
      <c r="Q226" s="10">
        <v>0</v>
      </c>
      <c r="R226" s="10">
        <v>0</v>
      </c>
      <c r="S226" s="10">
        <v>3</v>
      </c>
      <c r="T226" s="10">
        <v>5</v>
      </c>
      <c r="U226" s="9">
        <f t="shared" si="22"/>
        <v>650</v>
      </c>
      <c r="V226" s="9">
        <f t="shared" si="23"/>
        <v>34</v>
      </c>
      <c r="W226" s="9">
        <f t="shared" si="24"/>
        <v>34</v>
      </c>
      <c r="X226" s="9">
        <f t="shared" si="25"/>
        <v>660</v>
      </c>
      <c r="Y226" s="9">
        <f t="shared" si="26"/>
        <v>40</v>
      </c>
      <c r="Z226" s="9">
        <f t="shared" si="27"/>
        <v>40</v>
      </c>
      <c r="AA226" s="3" t="s">
        <v>559</v>
      </c>
      <c r="AB226" s="3" t="s">
        <v>549</v>
      </c>
    </row>
    <row r="227" spans="1:28" ht="76" customHeight="1">
      <c r="A227" s="6" t="s">
        <v>115</v>
      </c>
      <c r="B227" s="3" t="s">
        <v>187</v>
      </c>
      <c r="C227" s="3" t="s">
        <v>560</v>
      </c>
      <c r="D227" s="13" t="s">
        <v>189</v>
      </c>
      <c r="E227" s="8">
        <v>1</v>
      </c>
      <c r="F227" s="12" t="str">
        <f t="shared" si="21"/>
        <v>Ø110 × 70</v>
      </c>
      <c r="G227" s="3" t="s">
        <v>561</v>
      </c>
      <c r="H227" s="3" t="s">
        <v>562</v>
      </c>
      <c r="I227" s="3" t="str">
        <f>'Quantity grades'!G95</f>
        <v>A2 / D2</v>
      </c>
      <c r="J227" s="3" t="s">
        <v>563</v>
      </c>
      <c r="K227" s="3" t="s">
        <v>29</v>
      </c>
      <c r="L227" s="10">
        <v>100</v>
      </c>
      <c r="M227" s="15">
        <v>100</v>
      </c>
      <c r="N227" s="10">
        <v>30</v>
      </c>
      <c r="O227" s="11">
        <v>0</v>
      </c>
      <c r="P227" s="10">
        <v>0</v>
      </c>
      <c r="Q227" s="10">
        <v>0</v>
      </c>
      <c r="R227" s="10">
        <v>30</v>
      </c>
      <c r="S227" s="10">
        <v>3</v>
      </c>
      <c r="T227" s="10">
        <v>5</v>
      </c>
      <c r="U227" s="9">
        <f t="shared" si="22"/>
        <v>100</v>
      </c>
      <c r="V227" s="9" t="str">
        <f t="shared" si="23"/>
        <v/>
      </c>
      <c r="W227" s="9">
        <f t="shared" si="24"/>
        <v>60</v>
      </c>
      <c r="X227" s="9">
        <f t="shared" si="25"/>
        <v>110</v>
      </c>
      <c r="Y227" s="9" t="str">
        <f t="shared" si="26"/>
        <v/>
      </c>
      <c r="Z227" s="9">
        <f t="shared" si="27"/>
        <v>70</v>
      </c>
      <c r="AA227" s="3" t="s">
        <v>564</v>
      </c>
      <c r="AB227" s="3" t="s">
        <v>565</v>
      </c>
    </row>
    <row r="228" spans="1:28" ht="76" customHeight="1">
      <c r="A228" s="6" t="s">
        <v>115</v>
      </c>
      <c r="B228" s="3" t="s">
        <v>187</v>
      </c>
      <c r="C228" s="3" t="s">
        <v>566</v>
      </c>
      <c r="D228" s="14" t="s">
        <v>196</v>
      </c>
      <c r="E228" s="8">
        <v>1</v>
      </c>
      <c r="F228" s="12" t="str">
        <f t="shared" si="21"/>
        <v>170 × 170 × 40</v>
      </c>
      <c r="G228" s="3" t="s">
        <v>561</v>
      </c>
      <c r="H228" s="3" t="s">
        <v>562</v>
      </c>
      <c r="I228" s="3" t="str">
        <f>'Quantity grades'!G95</f>
        <v>A2 / D2</v>
      </c>
      <c r="J228" s="3" t="s">
        <v>563</v>
      </c>
      <c r="K228" s="3" t="s">
        <v>22</v>
      </c>
      <c r="L228" s="10">
        <v>100</v>
      </c>
      <c r="M228" s="10">
        <v>100</v>
      </c>
      <c r="N228" s="10">
        <v>8</v>
      </c>
      <c r="O228" s="11">
        <v>0</v>
      </c>
      <c r="P228" s="10">
        <v>30</v>
      </c>
      <c r="Q228" s="10">
        <v>30</v>
      </c>
      <c r="R228" s="10">
        <v>22</v>
      </c>
      <c r="S228" s="10">
        <v>3</v>
      </c>
      <c r="T228" s="10">
        <v>5</v>
      </c>
      <c r="U228" s="9">
        <f t="shared" si="22"/>
        <v>160</v>
      </c>
      <c r="V228" s="9">
        <f t="shared" si="23"/>
        <v>160</v>
      </c>
      <c r="W228" s="9">
        <f t="shared" si="24"/>
        <v>30</v>
      </c>
      <c r="X228" s="9">
        <f t="shared" si="25"/>
        <v>170</v>
      </c>
      <c r="Y228" s="9">
        <f t="shared" si="26"/>
        <v>170</v>
      </c>
      <c r="Z228" s="9">
        <f t="shared" si="27"/>
        <v>40</v>
      </c>
      <c r="AA228" s="3" t="s">
        <v>567</v>
      </c>
      <c r="AB228" s="3" t="s">
        <v>568</v>
      </c>
    </row>
    <row r="229" spans="1:28" ht="76" customHeight="1">
      <c r="A229" s="6" t="s">
        <v>115</v>
      </c>
      <c r="B229" s="3" t="s">
        <v>187</v>
      </c>
      <c r="C229" s="3" t="s">
        <v>569</v>
      </c>
      <c r="D229" s="16" t="s">
        <v>570</v>
      </c>
      <c r="E229" s="8">
        <v>1</v>
      </c>
      <c r="F229" s="12" t="str">
        <f t="shared" si="21"/>
        <v>180 × 180 × 30</v>
      </c>
      <c r="G229" s="3" t="s">
        <v>561</v>
      </c>
      <c r="H229" s="3" t="s">
        <v>562</v>
      </c>
      <c r="I229" s="3" t="s">
        <v>571</v>
      </c>
      <c r="J229" s="3" t="s">
        <v>563</v>
      </c>
      <c r="K229" s="3" t="s">
        <v>22</v>
      </c>
      <c r="L229" s="10">
        <v>170</v>
      </c>
      <c r="M229" s="10">
        <v>170</v>
      </c>
      <c r="N229" s="10">
        <v>20</v>
      </c>
      <c r="O229" s="11">
        <v>0</v>
      </c>
      <c r="P229" s="10">
        <v>0</v>
      </c>
      <c r="Q229" s="10">
        <v>0</v>
      </c>
      <c r="R229" s="10">
        <v>0</v>
      </c>
      <c r="S229" s="10">
        <v>3</v>
      </c>
      <c r="T229" s="10">
        <v>5</v>
      </c>
      <c r="U229" s="9">
        <f t="shared" si="22"/>
        <v>170</v>
      </c>
      <c r="V229" s="9">
        <f t="shared" si="23"/>
        <v>170</v>
      </c>
      <c r="W229" s="9">
        <f t="shared" si="24"/>
        <v>20</v>
      </c>
      <c r="X229" s="9">
        <f t="shared" si="25"/>
        <v>180</v>
      </c>
      <c r="Y229" s="9">
        <f t="shared" si="26"/>
        <v>180</v>
      </c>
      <c r="Z229" s="9">
        <f t="shared" si="27"/>
        <v>30</v>
      </c>
      <c r="AA229" s="3" t="s">
        <v>572</v>
      </c>
      <c r="AB229" s="3" t="s">
        <v>573</v>
      </c>
    </row>
    <row r="230" spans="1:28" ht="76" customHeight="1">
      <c r="A230" s="6" t="s">
        <v>115</v>
      </c>
      <c r="B230" s="3" t="s">
        <v>199</v>
      </c>
      <c r="C230" s="3" t="s">
        <v>560</v>
      </c>
      <c r="D230" s="13" t="s">
        <v>189</v>
      </c>
      <c r="E230" s="8">
        <v>1</v>
      </c>
      <c r="F230" s="12" t="str">
        <f t="shared" si="21"/>
        <v>Ø110 × 70</v>
      </c>
      <c r="G230" s="3" t="s">
        <v>561</v>
      </c>
      <c r="H230" s="3" t="s">
        <v>562</v>
      </c>
      <c r="I230" s="3" t="str">
        <f>'Quantity grades'!G96</f>
        <v>A2 / D2</v>
      </c>
      <c r="J230" s="3" t="s">
        <v>563</v>
      </c>
      <c r="K230" s="3" t="s">
        <v>29</v>
      </c>
      <c r="L230" s="10">
        <v>100</v>
      </c>
      <c r="M230" s="15">
        <v>100</v>
      </c>
      <c r="N230" s="10">
        <v>30</v>
      </c>
      <c r="O230" s="11">
        <v>0</v>
      </c>
      <c r="P230" s="10">
        <v>0</v>
      </c>
      <c r="Q230" s="10">
        <v>0</v>
      </c>
      <c r="R230" s="10">
        <v>30</v>
      </c>
      <c r="S230" s="10">
        <v>3</v>
      </c>
      <c r="T230" s="10">
        <v>5</v>
      </c>
      <c r="U230" s="9">
        <f t="shared" si="22"/>
        <v>100</v>
      </c>
      <c r="V230" s="9" t="str">
        <f t="shared" si="23"/>
        <v/>
      </c>
      <c r="W230" s="9">
        <f t="shared" si="24"/>
        <v>60</v>
      </c>
      <c r="X230" s="9">
        <f t="shared" si="25"/>
        <v>110</v>
      </c>
      <c r="Y230" s="9" t="str">
        <f t="shared" si="26"/>
        <v/>
      </c>
      <c r="Z230" s="9">
        <f t="shared" si="27"/>
        <v>70</v>
      </c>
      <c r="AA230" s="3" t="s">
        <v>574</v>
      </c>
      <c r="AB230" s="3" t="s">
        <v>565</v>
      </c>
    </row>
    <row r="231" spans="1:28" ht="76" customHeight="1">
      <c r="A231" s="6" t="s">
        <v>115</v>
      </c>
      <c r="B231" s="3" t="s">
        <v>199</v>
      </c>
      <c r="C231" s="3" t="s">
        <v>566</v>
      </c>
      <c r="D231" s="14" t="s">
        <v>196</v>
      </c>
      <c r="E231" s="8">
        <v>1</v>
      </c>
      <c r="F231" s="12" t="str">
        <f t="shared" si="21"/>
        <v>170 × 170 × 40</v>
      </c>
      <c r="G231" s="3" t="s">
        <v>561</v>
      </c>
      <c r="H231" s="3" t="s">
        <v>562</v>
      </c>
      <c r="I231" s="3" t="str">
        <f>'Quantity grades'!G96</f>
        <v>A2 / D2</v>
      </c>
      <c r="J231" s="3" t="s">
        <v>563</v>
      </c>
      <c r="K231" s="3" t="s">
        <v>22</v>
      </c>
      <c r="L231" s="10">
        <v>100</v>
      </c>
      <c r="M231" s="10">
        <v>100</v>
      </c>
      <c r="N231" s="10">
        <v>8</v>
      </c>
      <c r="O231" s="11">
        <v>0</v>
      </c>
      <c r="P231" s="10">
        <v>30</v>
      </c>
      <c r="Q231" s="10">
        <v>30</v>
      </c>
      <c r="R231" s="10">
        <v>22</v>
      </c>
      <c r="S231" s="10">
        <v>3</v>
      </c>
      <c r="T231" s="10">
        <v>5</v>
      </c>
      <c r="U231" s="9">
        <f t="shared" si="22"/>
        <v>160</v>
      </c>
      <c r="V231" s="9">
        <f t="shared" si="23"/>
        <v>160</v>
      </c>
      <c r="W231" s="9">
        <f t="shared" si="24"/>
        <v>30</v>
      </c>
      <c r="X231" s="9">
        <f t="shared" si="25"/>
        <v>170</v>
      </c>
      <c r="Y231" s="9">
        <f t="shared" si="26"/>
        <v>170</v>
      </c>
      <c r="Z231" s="9">
        <f t="shared" si="27"/>
        <v>40</v>
      </c>
      <c r="AA231" s="3" t="s">
        <v>575</v>
      </c>
      <c r="AB231" s="3" t="s">
        <v>568</v>
      </c>
    </row>
    <row r="232" spans="1:28" ht="76" customHeight="1">
      <c r="A232" s="6" t="s">
        <v>115</v>
      </c>
      <c r="B232" s="3" t="s">
        <v>199</v>
      </c>
      <c r="C232" s="3" t="s">
        <v>569</v>
      </c>
      <c r="D232" s="16" t="s">
        <v>570</v>
      </c>
      <c r="E232" s="8">
        <v>1</v>
      </c>
      <c r="F232" s="12" t="str">
        <f t="shared" si="21"/>
        <v>180 × 180 × 30</v>
      </c>
      <c r="G232" s="3" t="s">
        <v>561</v>
      </c>
      <c r="H232" s="3" t="s">
        <v>562</v>
      </c>
      <c r="I232" s="3" t="s">
        <v>571</v>
      </c>
      <c r="J232" s="3" t="s">
        <v>563</v>
      </c>
      <c r="K232" s="3" t="s">
        <v>22</v>
      </c>
      <c r="L232" s="10">
        <v>170</v>
      </c>
      <c r="M232" s="10">
        <v>170</v>
      </c>
      <c r="N232" s="10">
        <v>20</v>
      </c>
      <c r="O232" s="11">
        <v>0</v>
      </c>
      <c r="P232" s="10">
        <v>0</v>
      </c>
      <c r="Q232" s="10">
        <v>0</v>
      </c>
      <c r="R232" s="10">
        <v>0</v>
      </c>
      <c r="S232" s="10">
        <v>3</v>
      </c>
      <c r="T232" s="10">
        <v>5</v>
      </c>
      <c r="U232" s="9">
        <f t="shared" si="22"/>
        <v>170</v>
      </c>
      <c r="V232" s="9">
        <f t="shared" si="23"/>
        <v>170</v>
      </c>
      <c r="W232" s="9">
        <f t="shared" si="24"/>
        <v>20</v>
      </c>
      <c r="X232" s="9">
        <f t="shared" si="25"/>
        <v>180</v>
      </c>
      <c r="Y232" s="9">
        <f t="shared" si="26"/>
        <v>180</v>
      </c>
      <c r="Z232" s="9">
        <f t="shared" si="27"/>
        <v>30</v>
      </c>
      <c r="AA232" s="3" t="s">
        <v>576</v>
      </c>
      <c r="AB232" s="3" t="s">
        <v>573</v>
      </c>
    </row>
    <row r="233" spans="1:28" ht="76" customHeight="1">
      <c r="A233" s="6" t="s">
        <v>115</v>
      </c>
      <c r="B233" s="3" t="s">
        <v>202</v>
      </c>
      <c r="C233" s="3" t="s">
        <v>560</v>
      </c>
      <c r="D233" s="13" t="s">
        <v>189</v>
      </c>
      <c r="E233" s="8">
        <v>1</v>
      </c>
      <c r="F233" s="12" t="str">
        <f t="shared" si="21"/>
        <v>Ø110 × 70</v>
      </c>
      <c r="G233" s="3" t="s">
        <v>561</v>
      </c>
      <c r="H233" s="3" t="s">
        <v>562</v>
      </c>
      <c r="I233" s="3" t="str">
        <f>'Quantity grades'!G97</f>
        <v>A2 / D2 / M2</v>
      </c>
      <c r="J233" s="3" t="s">
        <v>563</v>
      </c>
      <c r="K233" s="3" t="s">
        <v>29</v>
      </c>
      <c r="L233" s="10">
        <v>100</v>
      </c>
      <c r="M233" s="15">
        <v>100</v>
      </c>
      <c r="N233" s="10">
        <v>30</v>
      </c>
      <c r="O233" s="11">
        <v>0</v>
      </c>
      <c r="P233" s="10">
        <v>0</v>
      </c>
      <c r="Q233" s="10">
        <v>0</v>
      </c>
      <c r="R233" s="10">
        <v>30</v>
      </c>
      <c r="S233" s="10">
        <v>3</v>
      </c>
      <c r="T233" s="10">
        <v>5</v>
      </c>
      <c r="U233" s="9">
        <f t="shared" si="22"/>
        <v>100</v>
      </c>
      <c r="V233" s="9" t="str">
        <f t="shared" si="23"/>
        <v/>
      </c>
      <c r="W233" s="9">
        <f t="shared" si="24"/>
        <v>60</v>
      </c>
      <c r="X233" s="9">
        <f t="shared" si="25"/>
        <v>110</v>
      </c>
      <c r="Y233" s="9" t="str">
        <f t="shared" si="26"/>
        <v/>
      </c>
      <c r="Z233" s="9">
        <f t="shared" si="27"/>
        <v>70</v>
      </c>
      <c r="AA233" s="3" t="s">
        <v>577</v>
      </c>
      <c r="AB233" s="3" t="s">
        <v>565</v>
      </c>
    </row>
    <row r="234" spans="1:28" ht="76" customHeight="1">
      <c r="A234" s="6" t="s">
        <v>115</v>
      </c>
      <c r="B234" s="3" t="s">
        <v>202</v>
      </c>
      <c r="C234" s="3" t="s">
        <v>566</v>
      </c>
      <c r="D234" s="14" t="s">
        <v>196</v>
      </c>
      <c r="E234" s="8">
        <v>1</v>
      </c>
      <c r="F234" s="12" t="str">
        <f t="shared" si="21"/>
        <v>170 × 170 × 40</v>
      </c>
      <c r="G234" s="3" t="s">
        <v>561</v>
      </c>
      <c r="H234" s="3" t="s">
        <v>562</v>
      </c>
      <c r="I234" s="3" t="str">
        <f>'Quantity grades'!G97</f>
        <v>A2 / D2 / M2</v>
      </c>
      <c r="J234" s="3" t="s">
        <v>563</v>
      </c>
      <c r="K234" s="3" t="s">
        <v>22</v>
      </c>
      <c r="L234" s="10">
        <v>100</v>
      </c>
      <c r="M234" s="10">
        <v>100</v>
      </c>
      <c r="N234" s="10">
        <v>8</v>
      </c>
      <c r="O234" s="11">
        <v>0</v>
      </c>
      <c r="P234" s="10">
        <v>30</v>
      </c>
      <c r="Q234" s="10">
        <v>30</v>
      </c>
      <c r="R234" s="10">
        <v>22</v>
      </c>
      <c r="S234" s="10">
        <v>3</v>
      </c>
      <c r="T234" s="10">
        <v>5</v>
      </c>
      <c r="U234" s="9">
        <f t="shared" si="22"/>
        <v>160</v>
      </c>
      <c r="V234" s="9">
        <f t="shared" si="23"/>
        <v>160</v>
      </c>
      <c r="W234" s="9">
        <f t="shared" si="24"/>
        <v>30</v>
      </c>
      <c r="X234" s="9">
        <f t="shared" si="25"/>
        <v>170</v>
      </c>
      <c r="Y234" s="9">
        <f t="shared" si="26"/>
        <v>170</v>
      </c>
      <c r="Z234" s="9">
        <f t="shared" si="27"/>
        <v>40</v>
      </c>
      <c r="AA234" s="3" t="s">
        <v>578</v>
      </c>
      <c r="AB234" s="3" t="s">
        <v>568</v>
      </c>
    </row>
    <row r="235" spans="1:28" ht="76" customHeight="1">
      <c r="A235" s="6" t="s">
        <v>115</v>
      </c>
      <c r="B235" s="3" t="s">
        <v>202</v>
      </c>
      <c r="C235" s="3" t="s">
        <v>569</v>
      </c>
      <c r="D235" s="16" t="s">
        <v>570</v>
      </c>
      <c r="E235" s="8">
        <v>1</v>
      </c>
      <c r="F235" s="12" t="str">
        <f t="shared" si="21"/>
        <v>180 × 180 × 30</v>
      </c>
      <c r="G235" s="3" t="s">
        <v>561</v>
      </c>
      <c r="H235" s="3" t="s">
        <v>562</v>
      </c>
      <c r="I235" s="3" t="s">
        <v>571</v>
      </c>
      <c r="J235" s="3" t="s">
        <v>563</v>
      </c>
      <c r="K235" s="3" t="s">
        <v>22</v>
      </c>
      <c r="L235" s="10">
        <v>170</v>
      </c>
      <c r="M235" s="10">
        <v>170</v>
      </c>
      <c r="N235" s="10">
        <v>20</v>
      </c>
      <c r="O235" s="11">
        <v>0</v>
      </c>
      <c r="P235" s="10">
        <v>0</v>
      </c>
      <c r="Q235" s="10">
        <v>0</v>
      </c>
      <c r="R235" s="10">
        <v>0</v>
      </c>
      <c r="S235" s="10">
        <v>3</v>
      </c>
      <c r="T235" s="10">
        <v>5</v>
      </c>
      <c r="U235" s="9">
        <f t="shared" si="22"/>
        <v>170</v>
      </c>
      <c r="V235" s="9">
        <f t="shared" si="23"/>
        <v>170</v>
      </c>
      <c r="W235" s="9">
        <f t="shared" si="24"/>
        <v>20</v>
      </c>
      <c r="X235" s="9">
        <f t="shared" si="25"/>
        <v>180</v>
      </c>
      <c r="Y235" s="9">
        <f t="shared" si="26"/>
        <v>180</v>
      </c>
      <c r="Z235" s="9">
        <f t="shared" si="27"/>
        <v>30</v>
      </c>
      <c r="AA235" s="3" t="s">
        <v>579</v>
      </c>
      <c r="AB235" s="3" t="s">
        <v>573</v>
      </c>
    </row>
    <row r="236" spans="1:28" ht="76" customHeight="1">
      <c r="A236" s="6" t="s">
        <v>115</v>
      </c>
      <c r="B236" s="3" t="s">
        <v>205</v>
      </c>
      <c r="C236" s="3" t="s">
        <v>560</v>
      </c>
      <c r="D236" s="13" t="s">
        <v>189</v>
      </c>
      <c r="E236" s="8">
        <v>1</v>
      </c>
      <c r="F236" s="12" t="str">
        <f t="shared" si="21"/>
        <v>Ø110 × 70</v>
      </c>
      <c r="G236" s="3" t="s">
        <v>561</v>
      </c>
      <c r="H236" s="3" t="s">
        <v>562</v>
      </c>
      <c r="I236" s="3" t="str">
        <f>'Quantity grades'!G98</f>
        <v>D2 / M2; tougher grade if needed</v>
      </c>
      <c r="J236" s="3" t="s">
        <v>563</v>
      </c>
      <c r="K236" s="3" t="s">
        <v>29</v>
      </c>
      <c r="L236" s="10">
        <v>100</v>
      </c>
      <c r="M236" s="15">
        <v>100</v>
      </c>
      <c r="N236" s="10">
        <v>30</v>
      </c>
      <c r="O236" s="11">
        <v>0</v>
      </c>
      <c r="P236" s="10">
        <v>0</v>
      </c>
      <c r="Q236" s="10">
        <v>0</v>
      </c>
      <c r="R236" s="10">
        <v>30</v>
      </c>
      <c r="S236" s="10">
        <v>3</v>
      </c>
      <c r="T236" s="10">
        <v>5</v>
      </c>
      <c r="U236" s="9">
        <f t="shared" si="22"/>
        <v>100</v>
      </c>
      <c r="V236" s="9" t="str">
        <f t="shared" si="23"/>
        <v/>
      </c>
      <c r="W236" s="9">
        <f t="shared" si="24"/>
        <v>60</v>
      </c>
      <c r="X236" s="9">
        <f t="shared" si="25"/>
        <v>110</v>
      </c>
      <c r="Y236" s="9" t="str">
        <f t="shared" si="26"/>
        <v/>
      </c>
      <c r="Z236" s="9">
        <f t="shared" si="27"/>
        <v>70</v>
      </c>
      <c r="AA236" s="3" t="s">
        <v>580</v>
      </c>
      <c r="AB236" s="3" t="s">
        <v>565</v>
      </c>
    </row>
    <row r="237" spans="1:28" ht="76" customHeight="1">
      <c r="A237" s="6" t="s">
        <v>115</v>
      </c>
      <c r="B237" s="3" t="s">
        <v>205</v>
      </c>
      <c r="C237" s="3" t="s">
        <v>566</v>
      </c>
      <c r="D237" s="14" t="s">
        <v>196</v>
      </c>
      <c r="E237" s="8">
        <v>1</v>
      </c>
      <c r="F237" s="12" t="str">
        <f t="shared" si="21"/>
        <v>170 × 170 × 40</v>
      </c>
      <c r="G237" s="3" t="s">
        <v>561</v>
      </c>
      <c r="H237" s="3" t="s">
        <v>562</v>
      </c>
      <c r="I237" s="3" t="str">
        <f>'Quantity grades'!G98</f>
        <v>D2 / M2; tougher grade if needed</v>
      </c>
      <c r="J237" s="3" t="s">
        <v>563</v>
      </c>
      <c r="K237" s="3" t="s">
        <v>22</v>
      </c>
      <c r="L237" s="10">
        <v>100</v>
      </c>
      <c r="M237" s="10">
        <v>100</v>
      </c>
      <c r="N237" s="10">
        <v>8</v>
      </c>
      <c r="O237" s="11">
        <v>0</v>
      </c>
      <c r="P237" s="10">
        <v>30</v>
      </c>
      <c r="Q237" s="10">
        <v>30</v>
      </c>
      <c r="R237" s="10">
        <v>22</v>
      </c>
      <c r="S237" s="10">
        <v>3</v>
      </c>
      <c r="T237" s="10">
        <v>5</v>
      </c>
      <c r="U237" s="9">
        <f t="shared" si="22"/>
        <v>160</v>
      </c>
      <c r="V237" s="9">
        <f t="shared" si="23"/>
        <v>160</v>
      </c>
      <c r="W237" s="9">
        <f t="shared" si="24"/>
        <v>30</v>
      </c>
      <c r="X237" s="9">
        <f t="shared" si="25"/>
        <v>170</v>
      </c>
      <c r="Y237" s="9">
        <f t="shared" si="26"/>
        <v>170</v>
      </c>
      <c r="Z237" s="9">
        <f t="shared" si="27"/>
        <v>40</v>
      </c>
      <c r="AA237" s="3" t="s">
        <v>581</v>
      </c>
      <c r="AB237" s="3" t="s">
        <v>568</v>
      </c>
    </row>
    <row r="238" spans="1:28" ht="76" customHeight="1">
      <c r="A238" s="6" t="s">
        <v>115</v>
      </c>
      <c r="B238" s="3" t="s">
        <v>205</v>
      </c>
      <c r="C238" s="3" t="s">
        <v>569</v>
      </c>
      <c r="D238" s="16" t="s">
        <v>570</v>
      </c>
      <c r="E238" s="8">
        <v>1</v>
      </c>
      <c r="F238" s="12" t="str">
        <f t="shared" si="21"/>
        <v>180 × 180 × 30</v>
      </c>
      <c r="G238" s="3" t="s">
        <v>561</v>
      </c>
      <c r="H238" s="3" t="s">
        <v>562</v>
      </c>
      <c r="I238" s="3" t="s">
        <v>571</v>
      </c>
      <c r="J238" s="3" t="s">
        <v>563</v>
      </c>
      <c r="K238" s="3" t="s">
        <v>22</v>
      </c>
      <c r="L238" s="10">
        <v>170</v>
      </c>
      <c r="M238" s="10">
        <v>170</v>
      </c>
      <c r="N238" s="10">
        <v>20</v>
      </c>
      <c r="O238" s="11">
        <v>0</v>
      </c>
      <c r="P238" s="10">
        <v>0</v>
      </c>
      <c r="Q238" s="10">
        <v>0</v>
      </c>
      <c r="R238" s="10">
        <v>0</v>
      </c>
      <c r="S238" s="10">
        <v>3</v>
      </c>
      <c r="T238" s="10">
        <v>5</v>
      </c>
      <c r="U238" s="9">
        <f t="shared" si="22"/>
        <v>170</v>
      </c>
      <c r="V238" s="9">
        <f t="shared" si="23"/>
        <v>170</v>
      </c>
      <c r="W238" s="9">
        <f t="shared" si="24"/>
        <v>20</v>
      </c>
      <c r="X238" s="9">
        <f t="shared" si="25"/>
        <v>180</v>
      </c>
      <c r="Y238" s="9">
        <f t="shared" si="26"/>
        <v>180</v>
      </c>
      <c r="Z238" s="9">
        <f t="shared" si="27"/>
        <v>30</v>
      </c>
      <c r="AA238" s="3" t="s">
        <v>582</v>
      </c>
      <c r="AB238" s="3" t="s">
        <v>573</v>
      </c>
    </row>
    <row r="239" spans="1:28" ht="76" customHeight="1">
      <c r="A239" s="6" t="s">
        <v>115</v>
      </c>
      <c r="B239" s="3" t="s">
        <v>208</v>
      </c>
      <c r="C239" s="3" t="s">
        <v>560</v>
      </c>
      <c r="D239" s="13" t="s">
        <v>189</v>
      </c>
      <c r="E239" s="8">
        <v>1</v>
      </c>
      <c r="F239" s="12" t="str">
        <f t="shared" si="21"/>
        <v>Ø110 × 70</v>
      </c>
      <c r="G239" s="3" t="s">
        <v>561</v>
      </c>
      <c r="H239" s="3" t="s">
        <v>562</v>
      </c>
      <c r="I239" s="3" t="str">
        <f>'Quantity grades'!G99</f>
        <v>D2 / PM tool steel</v>
      </c>
      <c r="J239" s="3" t="s">
        <v>563</v>
      </c>
      <c r="K239" s="3" t="s">
        <v>29</v>
      </c>
      <c r="L239" s="10">
        <v>100</v>
      </c>
      <c r="M239" s="15">
        <v>100</v>
      </c>
      <c r="N239" s="10">
        <v>30</v>
      </c>
      <c r="O239" s="11">
        <v>0</v>
      </c>
      <c r="P239" s="10">
        <v>0</v>
      </c>
      <c r="Q239" s="10">
        <v>0</v>
      </c>
      <c r="R239" s="10">
        <v>30</v>
      </c>
      <c r="S239" s="10">
        <v>3</v>
      </c>
      <c r="T239" s="10">
        <v>5</v>
      </c>
      <c r="U239" s="9">
        <f t="shared" si="22"/>
        <v>100</v>
      </c>
      <c r="V239" s="9" t="str">
        <f t="shared" si="23"/>
        <v/>
      </c>
      <c r="W239" s="9">
        <f t="shared" si="24"/>
        <v>60</v>
      </c>
      <c r="X239" s="9">
        <f t="shared" si="25"/>
        <v>110</v>
      </c>
      <c r="Y239" s="9" t="str">
        <f t="shared" si="26"/>
        <v/>
      </c>
      <c r="Z239" s="9">
        <f t="shared" si="27"/>
        <v>70</v>
      </c>
      <c r="AA239" s="3" t="s">
        <v>583</v>
      </c>
      <c r="AB239" s="3" t="s">
        <v>565</v>
      </c>
    </row>
    <row r="240" spans="1:28" ht="76" customHeight="1">
      <c r="A240" s="6" t="s">
        <v>115</v>
      </c>
      <c r="B240" s="3" t="s">
        <v>208</v>
      </c>
      <c r="C240" s="3" t="s">
        <v>566</v>
      </c>
      <c r="D240" s="14" t="s">
        <v>196</v>
      </c>
      <c r="E240" s="8">
        <v>1</v>
      </c>
      <c r="F240" s="12" t="str">
        <f t="shared" si="21"/>
        <v>170 × 170 × 40</v>
      </c>
      <c r="G240" s="3" t="s">
        <v>561</v>
      </c>
      <c r="H240" s="3" t="s">
        <v>562</v>
      </c>
      <c r="I240" s="3" t="str">
        <f>'Quantity grades'!G99</f>
        <v>D2 / PM tool steel</v>
      </c>
      <c r="J240" s="3" t="s">
        <v>563</v>
      </c>
      <c r="K240" s="3" t="s">
        <v>22</v>
      </c>
      <c r="L240" s="10">
        <v>100</v>
      </c>
      <c r="M240" s="10">
        <v>100</v>
      </c>
      <c r="N240" s="10">
        <v>8</v>
      </c>
      <c r="O240" s="11">
        <v>0</v>
      </c>
      <c r="P240" s="10">
        <v>30</v>
      </c>
      <c r="Q240" s="10">
        <v>30</v>
      </c>
      <c r="R240" s="10">
        <v>22</v>
      </c>
      <c r="S240" s="10">
        <v>3</v>
      </c>
      <c r="T240" s="10">
        <v>5</v>
      </c>
      <c r="U240" s="9">
        <f t="shared" si="22"/>
        <v>160</v>
      </c>
      <c r="V240" s="9">
        <f t="shared" si="23"/>
        <v>160</v>
      </c>
      <c r="W240" s="9">
        <f t="shared" si="24"/>
        <v>30</v>
      </c>
      <c r="X240" s="9">
        <f t="shared" si="25"/>
        <v>170</v>
      </c>
      <c r="Y240" s="9">
        <f t="shared" si="26"/>
        <v>170</v>
      </c>
      <c r="Z240" s="9">
        <f t="shared" si="27"/>
        <v>40</v>
      </c>
      <c r="AA240" s="3" t="s">
        <v>584</v>
      </c>
      <c r="AB240" s="3" t="s">
        <v>568</v>
      </c>
    </row>
    <row r="241" spans="1:28" ht="76" customHeight="1">
      <c r="A241" s="6" t="s">
        <v>115</v>
      </c>
      <c r="B241" s="3" t="s">
        <v>208</v>
      </c>
      <c r="C241" s="3" t="s">
        <v>569</v>
      </c>
      <c r="D241" s="16" t="s">
        <v>570</v>
      </c>
      <c r="E241" s="8">
        <v>1</v>
      </c>
      <c r="F241" s="12" t="str">
        <f t="shared" si="21"/>
        <v>180 × 180 × 30</v>
      </c>
      <c r="G241" s="3" t="s">
        <v>561</v>
      </c>
      <c r="H241" s="3" t="s">
        <v>562</v>
      </c>
      <c r="I241" s="3" t="s">
        <v>571</v>
      </c>
      <c r="J241" s="3" t="s">
        <v>563</v>
      </c>
      <c r="K241" s="3" t="s">
        <v>22</v>
      </c>
      <c r="L241" s="10">
        <v>170</v>
      </c>
      <c r="M241" s="10">
        <v>170</v>
      </c>
      <c r="N241" s="10">
        <v>20</v>
      </c>
      <c r="O241" s="11">
        <v>0</v>
      </c>
      <c r="P241" s="10">
        <v>0</v>
      </c>
      <c r="Q241" s="10">
        <v>0</v>
      </c>
      <c r="R241" s="10">
        <v>0</v>
      </c>
      <c r="S241" s="10">
        <v>3</v>
      </c>
      <c r="T241" s="10">
        <v>5</v>
      </c>
      <c r="U241" s="9">
        <f t="shared" si="22"/>
        <v>170</v>
      </c>
      <c r="V241" s="9">
        <f t="shared" si="23"/>
        <v>170</v>
      </c>
      <c r="W241" s="9">
        <f t="shared" si="24"/>
        <v>20</v>
      </c>
      <c r="X241" s="9">
        <f t="shared" si="25"/>
        <v>180</v>
      </c>
      <c r="Y241" s="9">
        <f t="shared" si="26"/>
        <v>180</v>
      </c>
      <c r="Z241" s="9">
        <f t="shared" si="27"/>
        <v>30</v>
      </c>
      <c r="AA241" s="3" t="s">
        <v>585</v>
      </c>
      <c r="AB241" s="3" t="s">
        <v>573</v>
      </c>
    </row>
    <row r="242" spans="1:28" ht="76" customHeight="1">
      <c r="A242" s="6" t="s">
        <v>115</v>
      </c>
      <c r="B242" s="3" t="s">
        <v>211</v>
      </c>
      <c r="C242" s="3" t="s">
        <v>560</v>
      </c>
      <c r="D242" s="13" t="s">
        <v>189</v>
      </c>
      <c r="E242" s="8">
        <v>1</v>
      </c>
      <c r="F242" s="12" t="str">
        <f t="shared" si="21"/>
        <v>Ø110 × 70</v>
      </c>
      <c r="G242" s="3" t="s">
        <v>561</v>
      </c>
      <c r="H242" s="3" t="s">
        <v>562</v>
      </c>
      <c r="I242" s="3" t="str">
        <f>'Quantity grades'!G100</f>
        <v>PM tool steel / WC-Co carbide</v>
      </c>
      <c r="J242" s="3" t="s">
        <v>563</v>
      </c>
      <c r="K242" s="3" t="s">
        <v>29</v>
      </c>
      <c r="L242" s="10">
        <v>100</v>
      </c>
      <c r="M242" s="15">
        <v>100</v>
      </c>
      <c r="N242" s="10">
        <v>30</v>
      </c>
      <c r="O242" s="11">
        <v>0</v>
      </c>
      <c r="P242" s="10">
        <v>0</v>
      </c>
      <c r="Q242" s="10">
        <v>0</v>
      </c>
      <c r="R242" s="10">
        <v>30</v>
      </c>
      <c r="S242" s="10">
        <v>3</v>
      </c>
      <c r="T242" s="10">
        <v>5</v>
      </c>
      <c r="U242" s="9">
        <f t="shared" si="22"/>
        <v>100</v>
      </c>
      <c r="V242" s="9" t="str">
        <f t="shared" si="23"/>
        <v/>
      </c>
      <c r="W242" s="9">
        <f t="shared" si="24"/>
        <v>60</v>
      </c>
      <c r="X242" s="9">
        <f t="shared" si="25"/>
        <v>110</v>
      </c>
      <c r="Y242" s="9" t="str">
        <f t="shared" si="26"/>
        <v/>
      </c>
      <c r="Z242" s="9">
        <f t="shared" si="27"/>
        <v>70</v>
      </c>
      <c r="AA242" s="3" t="s">
        <v>586</v>
      </c>
      <c r="AB242" s="3" t="s">
        <v>565</v>
      </c>
    </row>
    <row r="243" spans="1:28" ht="76" customHeight="1">
      <c r="A243" s="6" t="s">
        <v>115</v>
      </c>
      <c r="B243" s="3" t="s">
        <v>211</v>
      </c>
      <c r="C243" s="3" t="s">
        <v>566</v>
      </c>
      <c r="D243" s="14" t="s">
        <v>196</v>
      </c>
      <c r="E243" s="8">
        <v>1</v>
      </c>
      <c r="F243" s="12" t="str">
        <f t="shared" si="21"/>
        <v>170 × 170 × 40</v>
      </c>
      <c r="G243" s="3" t="s">
        <v>561</v>
      </c>
      <c r="H243" s="3" t="s">
        <v>562</v>
      </c>
      <c r="I243" s="3" t="str">
        <f>'Quantity grades'!G100</f>
        <v>PM tool steel / WC-Co carbide</v>
      </c>
      <c r="J243" s="3" t="s">
        <v>563</v>
      </c>
      <c r="K243" s="3" t="s">
        <v>22</v>
      </c>
      <c r="L243" s="10">
        <v>100</v>
      </c>
      <c r="M243" s="10">
        <v>100</v>
      </c>
      <c r="N243" s="10">
        <v>8</v>
      </c>
      <c r="O243" s="11">
        <v>0</v>
      </c>
      <c r="P243" s="10">
        <v>30</v>
      </c>
      <c r="Q243" s="10">
        <v>30</v>
      </c>
      <c r="R243" s="10">
        <v>22</v>
      </c>
      <c r="S243" s="10">
        <v>3</v>
      </c>
      <c r="T243" s="10">
        <v>5</v>
      </c>
      <c r="U243" s="9">
        <f t="shared" si="22"/>
        <v>160</v>
      </c>
      <c r="V243" s="9">
        <f t="shared" si="23"/>
        <v>160</v>
      </c>
      <c r="W243" s="9">
        <f t="shared" si="24"/>
        <v>30</v>
      </c>
      <c r="X243" s="9">
        <f t="shared" si="25"/>
        <v>170</v>
      </c>
      <c r="Y243" s="9">
        <f t="shared" si="26"/>
        <v>170</v>
      </c>
      <c r="Z243" s="9">
        <f t="shared" si="27"/>
        <v>40</v>
      </c>
      <c r="AA243" s="3" t="s">
        <v>587</v>
      </c>
      <c r="AB243" s="3" t="s">
        <v>568</v>
      </c>
    </row>
    <row r="244" spans="1:28" ht="76" customHeight="1">
      <c r="A244" s="6" t="s">
        <v>115</v>
      </c>
      <c r="B244" s="3" t="s">
        <v>211</v>
      </c>
      <c r="C244" s="3" t="s">
        <v>569</v>
      </c>
      <c r="D244" s="16" t="s">
        <v>570</v>
      </c>
      <c r="E244" s="8">
        <v>1</v>
      </c>
      <c r="F244" s="12" t="str">
        <f t="shared" si="21"/>
        <v>180 × 180 × 30</v>
      </c>
      <c r="G244" s="3" t="s">
        <v>561</v>
      </c>
      <c r="H244" s="3" t="s">
        <v>562</v>
      </c>
      <c r="I244" s="3" t="s">
        <v>571</v>
      </c>
      <c r="J244" s="3" t="s">
        <v>563</v>
      </c>
      <c r="K244" s="3" t="s">
        <v>22</v>
      </c>
      <c r="L244" s="10">
        <v>170</v>
      </c>
      <c r="M244" s="10">
        <v>170</v>
      </c>
      <c r="N244" s="10">
        <v>20</v>
      </c>
      <c r="O244" s="11">
        <v>0</v>
      </c>
      <c r="P244" s="10">
        <v>0</v>
      </c>
      <c r="Q244" s="10">
        <v>0</v>
      </c>
      <c r="R244" s="10">
        <v>0</v>
      </c>
      <c r="S244" s="10">
        <v>3</v>
      </c>
      <c r="T244" s="10">
        <v>5</v>
      </c>
      <c r="U244" s="9">
        <f t="shared" si="22"/>
        <v>170</v>
      </c>
      <c r="V244" s="9">
        <f t="shared" si="23"/>
        <v>170</v>
      </c>
      <c r="W244" s="9">
        <f t="shared" si="24"/>
        <v>20</v>
      </c>
      <c r="X244" s="9">
        <f t="shared" si="25"/>
        <v>180</v>
      </c>
      <c r="Y244" s="9">
        <f t="shared" si="26"/>
        <v>180</v>
      </c>
      <c r="Z244" s="9">
        <f t="shared" si="27"/>
        <v>30</v>
      </c>
      <c r="AA244" s="3" t="s">
        <v>588</v>
      </c>
      <c r="AB244" s="3" t="s">
        <v>573</v>
      </c>
    </row>
    <row r="245" spans="1:28" ht="76" customHeight="1">
      <c r="A245" s="6" t="s">
        <v>121</v>
      </c>
      <c r="B245" s="3" t="s">
        <v>187</v>
      </c>
      <c r="C245" s="3" t="s">
        <v>589</v>
      </c>
      <c r="D245" s="13" t="s">
        <v>189</v>
      </c>
      <c r="E245" s="8">
        <v>1</v>
      </c>
      <c r="F245" s="12" t="str">
        <f t="shared" si="21"/>
        <v>Ø110 × 80</v>
      </c>
      <c r="G245" s="3" t="s">
        <v>590</v>
      </c>
      <c r="H245" s="3" t="s">
        <v>591</v>
      </c>
      <c r="I245" s="3" t="str">
        <f>'Quantity grades'!G101</f>
        <v>M2 / Caldie / PM tool steel</v>
      </c>
      <c r="J245" s="3" t="s">
        <v>592</v>
      </c>
      <c r="K245" s="3" t="s">
        <v>29</v>
      </c>
      <c r="L245" s="10">
        <v>100</v>
      </c>
      <c r="M245" s="15">
        <v>100</v>
      </c>
      <c r="N245" s="10">
        <v>40</v>
      </c>
      <c r="O245" s="11">
        <v>0</v>
      </c>
      <c r="P245" s="10">
        <v>0</v>
      </c>
      <c r="Q245" s="10">
        <v>0</v>
      </c>
      <c r="R245" s="10">
        <v>30</v>
      </c>
      <c r="S245" s="10">
        <v>3</v>
      </c>
      <c r="T245" s="10">
        <v>5</v>
      </c>
      <c r="U245" s="9">
        <f t="shared" si="22"/>
        <v>100</v>
      </c>
      <c r="V245" s="9" t="str">
        <f t="shared" si="23"/>
        <v/>
      </c>
      <c r="W245" s="9">
        <f t="shared" si="24"/>
        <v>70</v>
      </c>
      <c r="X245" s="9">
        <f t="shared" si="25"/>
        <v>110</v>
      </c>
      <c r="Y245" s="9" t="str">
        <f t="shared" si="26"/>
        <v/>
      </c>
      <c r="Z245" s="9">
        <f t="shared" si="27"/>
        <v>80</v>
      </c>
      <c r="AA245" s="3" t="s">
        <v>593</v>
      </c>
      <c r="AB245" s="3" t="s">
        <v>594</v>
      </c>
    </row>
    <row r="246" spans="1:28" ht="76" customHeight="1">
      <c r="A246" s="6" t="s">
        <v>121</v>
      </c>
      <c r="B246" s="3" t="s">
        <v>187</v>
      </c>
      <c r="C246" s="3" t="s">
        <v>595</v>
      </c>
      <c r="D246" s="14" t="s">
        <v>196</v>
      </c>
      <c r="E246" s="8">
        <v>1</v>
      </c>
      <c r="F246" s="12" t="str">
        <f t="shared" si="21"/>
        <v>170 × 170 × 60</v>
      </c>
      <c r="G246" s="3" t="s">
        <v>590</v>
      </c>
      <c r="H246" s="3" t="s">
        <v>591</v>
      </c>
      <c r="I246" s="3" t="str">
        <f>'Quantity grades'!G101</f>
        <v>M2 / Caldie / PM tool steel</v>
      </c>
      <c r="J246" s="3" t="s">
        <v>592</v>
      </c>
      <c r="K246" s="3" t="s">
        <v>22</v>
      </c>
      <c r="L246" s="10">
        <v>100</v>
      </c>
      <c r="M246" s="10">
        <v>100</v>
      </c>
      <c r="N246" s="10">
        <v>10</v>
      </c>
      <c r="O246" s="11">
        <v>0</v>
      </c>
      <c r="P246" s="10">
        <v>30</v>
      </c>
      <c r="Q246" s="10">
        <v>30</v>
      </c>
      <c r="R246" s="10">
        <v>40</v>
      </c>
      <c r="S246" s="10">
        <v>3</v>
      </c>
      <c r="T246" s="10">
        <v>5</v>
      </c>
      <c r="U246" s="9">
        <f t="shared" si="22"/>
        <v>160</v>
      </c>
      <c r="V246" s="9">
        <f t="shared" si="23"/>
        <v>160</v>
      </c>
      <c r="W246" s="9">
        <f t="shared" si="24"/>
        <v>50</v>
      </c>
      <c r="X246" s="9">
        <f t="shared" si="25"/>
        <v>170</v>
      </c>
      <c r="Y246" s="9">
        <f t="shared" si="26"/>
        <v>170</v>
      </c>
      <c r="Z246" s="9">
        <f t="shared" si="27"/>
        <v>60</v>
      </c>
      <c r="AA246" s="3" t="s">
        <v>596</v>
      </c>
      <c r="AB246" s="3" t="s">
        <v>597</v>
      </c>
    </row>
    <row r="247" spans="1:28" ht="76" customHeight="1">
      <c r="A247" s="6" t="s">
        <v>121</v>
      </c>
      <c r="B247" s="3" t="s">
        <v>187</v>
      </c>
      <c r="C247" s="3" t="s">
        <v>598</v>
      </c>
      <c r="D247" s="13" t="s">
        <v>599</v>
      </c>
      <c r="E247" s="8">
        <v>1</v>
      </c>
      <c r="F247" s="12" t="str">
        <f t="shared" si="21"/>
        <v>Ø110 × 70</v>
      </c>
      <c r="G247" s="3" t="s">
        <v>590</v>
      </c>
      <c r="H247" s="3" t="s">
        <v>591</v>
      </c>
      <c r="I247" s="3" t="str">
        <f>'Quantity grades'!G101</f>
        <v>M2 / Caldie / PM tool steel</v>
      </c>
      <c r="J247" s="3" t="s">
        <v>592</v>
      </c>
      <c r="K247" s="3" t="s">
        <v>29</v>
      </c>
      <c r="L247" s="10">
        <v>100</v>
      </c>
      <c r="M247" s="15">
        <v>100</v>
      </c>
      <c r="N247" s="10">
        <v>40</v>
      </c>
      <c r="O247" s="11">
        <v>0</v>
      </c>
      <c r="P247" s="10">
        <v>0</v>
      </c>
      <c r="Q247" s="10">
        <v>0</v>
      </c>
      <c r="R247" s="10">
        <v>20</v>
      </c>
      <c r="S247" s="10">
        <v>3</v>
      </c>
      <c r="T247" s="10">
        <v>5</v>
      </c>
      <c r="U247" s="9">
        <f t="shared" si="22"/>
        <v>100</v>
      </c>
      <c r="V247" s="9" t="str">
        <f t="shared" si="23"/>
        <v/>
      </c>
      <c r="W247" s="9">
        <f t="shared" si="24"/>
        <v>60</v>
      </c>
      <c r="X247" s="9">
        <f t="shared" si="25"/>
        <v>110</v>
      </c>
      <c r="Y247" s="9" t="str">
        <f t="shared" si="26"/>
        <v/>
      </c>
      <c r="Z247" s="9">
        <f t="shared" si="27"/>
        <v>70</v>
      </c>
      <c r="AA247" s="3" t="s">
        <v>600</v>
      </c>
      <c r="AB247" s="3" t="s">
        <v>601</v>
      </c>
    </row>
    <row r="248" spans="1:28" ht="76" customHeight="1">
      <c r="A248" s="6" t="s">
        <v>121</v>
      </c>
      <c r="B248" s="3" t="s">
        <v>187</v>
      </c>
      <c r="C248" s="3" t="s">
        <v>602</v>
      </c>
      <c r="D248" s="13" t="s">
        <v>364</v>
      </c>
      <c r="E248" s="8">
        <v>1</v>
      </c>
      <c r="F248" s="12" t="str">
        <f t="shared" si="21"/>
        <v>Ø30 × 80</v>
      </c>
      <c r="G248" s="3" t="s">
        <v>590</v>
      </c>
      <c r="H248" s="3" t="s">
        <v>591</v>
      </c>
      <c r="I248" s="3" t="str">
        <f>'Quantity grades'!G101</f>
        <v>M2 / Caldie / PM tool steel</v>
      </c>
      <c r="J248" s="3" t="s">
        <v>592</v>
      </c>
      <c r="K248" s="3" t="s">
        <v>29</v>
      </c>
      <c r="L248" s="10">
        <v>20</v>
      </c>
      <c r="M248" s="15">
        <v>20</v>
      </c>
      <c r="N248" s="10">
        <v>70</v>
      </c>
      <c r="O248" s="11">
        <v>0</v>
      </c>
      <c r="P248" s="10">
        <v>0</v>
      </c>
      <c r="Q248" s="10">
        <v>0</v>
      </c>
      <c r="R248" s="10">
        <v>0</v>
      </c>
      <c r="S248" s="10">
        <v>3</v>
      </c>
      <c r="T248" s="10">
        <v>5</v>
      </c>
      <c r="U248" s="9">
        <f t="shared" si="22"/>
        <v>20</v>
      </c>
      <c r="V248" s="9" t="str">
        <f t="shared" si="23"/>
        <v/>
      </c>
      <c r="W248" s="9">
        <f t="shared" si="24"/>
        <v>70</v>
      </c>
      <c r="X248" s="9">
        <f t="shared" si="25"/>
        <v>30</v>
      </c>
      <c r="Y248" s="9" t="str">
        <f t="shared" si="26"/>
        <v/>
      </c>
      <c r="Z248" s="9">
        <f t="shared" si="27"/>
        <v>80</v>
      </c>
      <c r="AA248" s="3" t="s">
        <v>603</v>
      </c>
      <c r="AB248" s="3" t="s">
        <v>604</v>
      </c>
    </row>
    <row r="249" spans="1:28" ht="76" customHeight="1">
      <c r="A249" s="6" t="s">
        <v>121</v>
      </c>
      <c r="B249" s="3" t="s">
        <v>187</v>
      </c>
      <c r="C249" s="3" t="s">
        <v>605</v>
      </c>
      <c r="D249" s="16" t="s">
        <v>606</v>
      </c>
      <c r="E249" s="8">
        <v>1</v>
      </c>
      <c r="F249" s="12" t="str">
        <f t="shared" si="21"/>
        <v>180 × 180 × 50</v>
      </c>
      <c r="G249" s="3" t="s">
        <v>590</v>
      </c>
      <c r="H249" s="3" t="s">
        <v>591</v>
      </c>
      <c r="I249" s="3" t="s">
        <v>607</v>
      </c>
      <c r="J249" s="3" t="s">
        <v>592</v>
      </c>
      <c r="K249" s="3" t="s">
        <v>22</v>
      </c>
      <c r="L249" s="10">
        <v>170</v>
      </c>
      <c r="M249" s="10">
        <v>170</v>
      </c>
      <c r="N249" s="10">
        <v>40</v>
      </c>
      <c r="O249" s="11">
        <v>0</v>
      </c>
      <c r="P249" s="10">
        <v>0</v>
      </c>
      <c r="Q249" s="10">
        <v>0</v>
      </c>
      <c r="R249" s="10">
        <v>0</v>
      </c>
      <c r="S249" s="10">
        <v>3</v>
      </c>
      <c r="T249" s="10">
        <v>5</v>
      </c>
      <c r="U249" s="9">
        <f t="shared" si="22"/>
        <v>170</v>
      </c>
      <c r="V249" s="9">
        <f t="shared" si="23"/>
        <v>170</v>
      </c>
      <c r="W249" s="9">
        <f t="shared" si="24"/>
        <v>40</v>
      </c>
      <c r="X249" s="9">
        <f t="shared" si="25"/>
        <v>180</v>
      </c>
      <c r="Y249" s="9">
        <f t="shared" si="26"/>
        <v>180</v>
      </c>
      <c r="Z249" s="9">
        <f t="shared" si="27"/>
        <v>50</v>
      </c>
      <c r="AA249" s="3" t="s">
        <v>608</v>
      </c>
      <c r="AB249" s="3" t="s">
        <v>609</v>
      </c>
    </row>
    <row r="250" spans="1:28" ht="76" customHeight="1">
      <c r="A250" s="6" t="s">
        <v>121</v>
      </c>
      <c r="B250" s="3" t="s">
        <v>199</v>
      </c>
      <c r="C250" s="3" t="s">
        <v>589</v>
      </c>
      <c r="D250" s="13" t="s">
        <v>189</v>
      </c>
      <c r="E250" s="8">
        <v>1</v>
      </c>
      <c r="F250" s="12" t="str">
        <f t="shared" si="21"/>
        <v>Ø110 × 80</v>
      </c>
      <c r="G250" s="3" t="s">
        <v>590</v>
      </c>
      <c r="H250" s="3" t="s">
        <v>591</v>
      </c>
      <c r="I250" s="3" t="str">
        <f>'Quantity grades'!G102</f>
        <v>M2 / Caldie / PM tool steel</v>
      </c>
      <c r="J250" s="3" t="s">
        <v>592</v>
      </c>
      <c r="K250" s="3" t="s">
        <v>29</v>
      </c>
      <c r="L250" s="10">
        <v>100</v>
      </c>
      <c r="M250" s="15">
        <v>100</v>
      </c>
      <c r="N250" s="10">
        <v>40</v>
      </c>
      <c r="O250" s="11">
        <v>0</v>
      </c>
      <c r="P250" s="10">
        <v>0</v>
      </c>
      <c r="Q250" s="10">
        <v>0</v>
      </c>
      <c r="R250" s="10">
        <v>30</v>
      </c>
      <c r="S250" s="10">
        <v>3</v>
      </c>
      <c r="T250" s="10">
        <v>5</v>
      </c>
      <c r="U250" s="9">
        <f t="shared" si="22"/>
        <v>100</v>
      </c>
      <c r="V250" s="9" t="str">
        <f t="shared" si="23"/>
        <v/>
      </c>
      <c r="W250" s="9">
        <f t="shared" si="24"/>
        <v>70</v>
      </c>
      <c r="X250" s="9">
        <f t="shared" si="25"/>
        <v>110</v>
      </c>
      <c r="Y250" s="9" t="str">
        <f t="shared" si="26"/>
        <v/>
      </c>
      <c r="Z250" s="9">
        <f t="shared" si="27"/>
        <v>80</v>
      </c>
      <c r="AA250" s="3" t="s">
        <v>610</v>
      </c>
      <c r="AB250" s="3" t="s">
        <v>594</v>
      </c>
    </row>
    <row r="251" spans="1:28" ht="76" customHeight="1">
      <c r="A251" s="6" t="s">
        <v>121</v>
      </c>
      <c r="B251" s="3" t="s">
        <v>199</v>
      </c>
      <c r="C251" s="3" t="s">
        <v>595</v>
      </c>
      <c r="D251" s="14" t="s">
        <v>196</v>
      </c>
      <c r="E251" s="8">
        <v>1</v>
      </c>
      <c r="F251" s="12" t="str">
        <f t="shared" si="21"/>
        <v>170 × 170 × 60</v>
      </c>
      <c r="G251" s="3" t="s">
        <v>590</v>
      </c>
      <c r="H251" s="3" t="s">
        <v>591</v>
      </c>
      <c r="I251" s="3" t="str">
        <f>'Quantity grades'!G102</f>
        <v>M2 / Caldie / PM tool steel</v>
      </c>
      <c r="J251" s="3" t="s">
        <v>592</v>
      </c>
      <c r="K251" s="3" t="s">
        <v>22</v>
      </c>
      <c r="L251" s="10">
        <v>100</v>
      </c>
      <c r="M251" s="10">
        <v>100</v>
      </c>
      <c r="N251" s="10">
        <v>10</v>
      </c>
      <c r="O251" s="11">
        <v>0</v>
      </c>
      <c r="P251" s="10">
        <v>30</v>
      </c>
      <c r="Q251" s="10">
        <v>30</v>
      </c>
      <c r="R251" s="10">
        <v>40</v>
      </c>
      <c r="S251" s="10">
        <v>3</v>
      </c>
      <c r="T251" s="10">
        <v>5</v>
      </c>
      <c r="U251" s="9">
        <f t="shared" si="22"/>
        <v>160</v>
      </c>
      <c r="V251" s="9">
        <f t="shared" si="23"/>
        <v>160</v>
      </c>
      <c r="W251" s="9">
        <f t="shared" si="24"/>
        <v>50</v>
      </c>
      <c r="X251" s="9">
        <f t="shared" si="25"/>
        <v>170</v>
      </c>
      <c r="Y251" s="9">
        <f t="shared" si="26"/>
        <v>170</v>
      </c>
      <c r="Z251" s="9">
        <f t="shared" si="27"/>
        <v>60</v>
      </c>
      <c r="AA251" s="3" t="s">
        <v>611</v>
      </c>
      <c r="AB251" s="3" t="s">
        <v>597</v>
      </c>
    </row>
    <row r="252" spans="1:28" ht="76" customHeight="1">
      <c r="A252" s="6" t="s">
        <v>121</v>
      </c>
      <c r="B252" s="3" t="s">
        <v>199</v>
      </c>
      <c r="C252" s="3" t="s">
        <v>598</v>
      </c>
      <c r="D252" s="13" t="s">
        <v>599</v>
      </c>
      <c r="E252" s="8">
        <v>1</v>
      </c>
      <c r="F252" s="12" t="str">
        <f t="shared" si="21"/>
        <v>Ø110 × 70</v>
      </c>
      <c r="G252" s="3" t="s">
        <v>590</v>
      </c>
      <c r="H252" s="3" t="s">
        <v>591</v>
      </c>
      <c r="I252" s="3" t="str">
        <f>'Quantity grades'!G102</f>
        <v>M2 / Caldie / PM tool steel</v>
      </c>
      <c r="J252" s="3" t="s">
        <v>592</v>
      </c>
      <c r="K252" s="3" t="s">
        <v>29</v>
      </c>
      <c r="L252" s="10">
        <v>100</v>
      </c>
      <c r="M252" s="15">
        <v>100</v>
      </c>
      <c r="N252" s="10">
        <v>40</v>
      </c>
      <c r="O252" s="11">
        <v>0</v>
      </c>
      <c r="P252" s="10">
        <v>0</v>
      </c>
      <c r="Q252" s="10">
        <v>0</v>
      </c>
      <c r="R252" s="10">
        <v>20</v>
      </c>
      <c r="S252" s="10">
        <v>3</v>
      </c>
      <c r="T252" s="10">
        <v>5</v>
      </c>
      <c r="U252" s="9">
        <f t="shared" si="22"/>
        <v>100</v>
      </c>
      <c r="V252" s="9" t="str">
        <f t="shared" si="23"/>
        <v/>
      </c>
      <c r="W252" s="9">
        <f t="shared" si="24"/>
        <v>60</v>
      </c>
      <c r="X252" s="9">
        <f t="shared" si="25"/>
        <v>110</v>
      </c>
      <c r="Y252" s="9" t="str">
        <f t="shared" si="26"/>
        <v/>
      </c>
      <c r="Z252" s="9">
        <f t="shared" si="27"/>
        <v>70</v>
      </c>
      <c r="AA252" s="3" t="s">
        <v>612</v>
      </c>
      <c r="AB252" s="3" t="s">
        <v>601</v>
      </c>
    </row>
    <row r="253" spans="1:28" ht="76" customHeight="1">
      <c r="A253" s="6" t="s">
        <v>121</v>
      </c>
      <c r="B253" s="3" t="s">
        <v>199</v>
      </c>
      <c r="C253" s="3" t="s">
        <v>602</v>
      </c>
      <c r="D253" s="13" t="s">
        <v>364</v>
      </c>
      <c r="E253" s="8">
        <v>1</v>
      </c>
      <c r="F253" s="12" t="str">
        <f t="shared" si="21"/>
        <v>Ø30 × 80</v>
      </c>
      <c r="G253" s="3" t="s">
        <v>590</v>
      </c>
      <c r="H253" s="3" t="s">
        <v>591</v>
      </c>
      <c r="I253" s="3" t="str">
        <f>'Quantity grades'!G102</f>
        <v>M2 / Caldie / PM tool steel</v>
      </c>
      <c r="J253" s="3" t="s">
        <v>592</v>
      </c>
      <c r="K253" s="3" t="s">
        <v>29</v>
      </c>
      <c r="L253" s="10">
        <v>20</v>
      </c>
      <c r="M253" s="15">
        <v>20</v>
      </c>
      <c r="N253" s="10">
        <v>70</v>
      </c>
      <c r="O253" s="11">
        <v>0</v>
      </c>
      <c r="P253" s="10">
        <v>0</v>
      </c>
      <c r="Q253" s="10">
        <v>0</v>
      </c>
      <c r="R253" s="10">
        <v>0</v>
      </c>
      <c r="S253" s="10">
        <v>3</v>
      </c>
      <c r="T253" s="10">
        <v>5</v>
      </c>
      <c r="U253" s="9">
        <f t="shared" si="22"/>
        <v>20</v>
      </c>
      <c r="V253" s="9" t="str">
        <f t="shared" si="23"/>
        <v/>
      </c>
      <c r="W253" s="9">
        <f t="shared" si="24"/>
        <v>70</v>
      </c>
      <c r="X253" s="9">
        <f t="shared" si="25"/>
        <v>30</v>
      </c>
      <c r="Y253" s="9" t="str">
        <f t="shared" si="26"/>
        <v/>
      </c>
      <c r="Z253" s="9">
        <f t="shared" si="27"/>
        <v>80</v>
      </c>
      <c r="AA253" s="3" t="s">
        <v>613</v>
      </c>
      <c r="AB253" s="3" t="s">
        <v>604</v>
      </c>
    </row>
    <row r="254" spans="1:28" ht="76" customHeight="1">
      <c r="A254" s="6" t="s">
        <v>121</v>
      </c>
      <c r="B254" s="3" t="s">
        <v>199</v>
      </c>
      <c r="C254" s="3" t="s">
        <v>605</v>
      </c>
      <c r="D254" s="16" t="s">
        <v>606</v>
      </c>
      <c r="E254" s="8">
        <v>1</v>
      </c>
      <c r="F254" s="12" t="str">
        <f t="shared" si="21"/>
        <v>180 × 180 × 50</v>
      </c>
      <c r="G254" s="3" t="s">
        <v>590</v>
      </c>
      <c r="H254" s="3" t="s">
        <v>591</v>
      </c>
      <c r="I254" s="3" t="s">
        <v>607</v>
      </c>
      <c r="J254" s="3" t="s">
        <v>592</v>
      </c>
      <c r="K254" s="3" t="s">
        <v>22</v>
      </c>
      <c r="L254" s="10">
        <v>170</v>
      </c>
      <c r="M254" s="10">
        <v>170</v>
      </c>
      <c r="N254" s="10">
        <v>40</v>
      </c>
      <c r="O254" s="11">
        <v>0</v>
      </c>
      <c r="P254" s="10">
        <v>0</v>
      </c>
      <c r="Q254" s="10">
        <v>0</v>
      </c>
      <c r="R254" s="10">
        <v>0</v>
      </c>
      <c r="S254" s="10">
        <v>3</v>
      </c>
      <c r="T254" s="10">
        <v>5</v>
      </c>
      <c r="U254" s="9">
        <f t="shared" si="22"/>
        <v>170</v>
      </c>
      <c r="V254" s="9">
        <f t="shared" si="23"/>
        <v>170</v>
      </c>
      <c r="W254" s="9">
        <f t="shared" si="24"/>
        <v>40</v>
      </c>
      <c r="X254" s="9">
        <f t="shared" si="25"/>
        <v>180</v>
      </c>
      <c r="Y254" s="9">
        <f t="shared" si="26"/>
        <v>180</v>
      </c>
      <c r="Z254" s="9">
        <f t="shared" si="27"/>
        <v>50</v>
      </c>
      <c r="AA254" s="3" t="s">
        <v>614</v>
      </c>
      <c r="AB254" s="3" t="s">
        <v>609</v>
      </c>
    </row>
    <row r="255" spans="1:28" ht="76" customHeight="1">
      <c r="A255" s="6" t="s">
        <v>121</v>
      </c>
      <c r="B255" s="3" t="s">
        <v>202</v>
      </c>
      <c r="C255" s="3" t="s">
        <v>589</v>
      </c>
      <c r="D255" s="13" t="s">
        <v>189</v>
      </c>
      <c r="E255" s="8">
        <v>1</v>
      </c>
      <c r="F255" s="12" t="str">
        <f t="shared" si="21"/>
        <v>Ø110 × 80</v>
      </c>
      <c r="G255" s="3" t="s">
        <v>590</v>
      </c>
      <c r="H255" s="3" t="s">
        <v>591</v>
      </c>
      <c r="I255" s="3" t="str">
        <f>'Quantity grades'!G103</f>
        <v>Caldie / Vanadis 4 Extra / Vanadis 23</v>
      </c>
      <c r="J255" s="3" t="s">
        <v>592</v>
      </c>
      <c r="K255" s="3" t="s">
        <v>29</v>
      </c>
      <c r="L255" s="10">
        <v>100</v>
      </c>
      <c r="M255" s="15">
        <v>100</v>
      </c>
      <c r="N255" s="10">
        <v>40</v>
      </c>
      <c r="O255" s="11">
        <v>0</v>
      </c>
      <c r="P255" s="10">
        <v>0</v>
      </c>
      <c r="Q255" s="10">
        <v>0</v>
      </c>
      <c r="R255" s="10">
        <v>30</v>
      </c>
      <c r="S255" s="10">
        <v>3</v>
      </c>
      <c r="T255" s="10">
        <v>5</v>
      </c>
      <c r="U255" s="9">
        <f t="shared" si="22"/>
        <v>100</v>
      </c>
      <c r="V255" s="9" t="str">
        <f t="shared" si="23"/>
        <v/>
      </c>
      <c r="W255" s="9">
        <f t="shared" si="24"/>
        <v>70</v>
      </c>
      <c r="X255" s="9">
        <f t="shared" si="25"/>
        <v>110</v>
      </c>
      <c r="Y255" s="9" t="str">
        <f t="shared" si="26"/>
        <v/>
      </c>
      <c r="Z255" s="9">
        <f t="shared" si="27"/>
        <v>80</v>
      </c>
      <c r="AA255" s="3" t="s">
        <v>615</v>
      </c>
      <c r="AB255" s="3" t="s">
        <v>594</v>
      </c>
    </row>
    <row r="256" spans="1:28" ht="76" customHeight="1">
      <c r="A256" s="6" t="s">
        <v>121</v>
      </c>
      <c r="B256" s="3" t="s">
        <v>202</v>
      </c>
      <c r="C256" s="3" t="s">
        <v>595</v>
      </c>
      <c r="D256" s="14" t="s">
        <v>196</v>
      </c>
      <c r="E256" s="8">
        <v>1</v>
      </c>
      <c r="F256" s="12" t="str">
        <f t="shared" si="21"/>
        <v>170 × 170 × 60</v>
      </c>
      <c r="G256" s="3" t="s">
        <v>590</v>
      </c>
      <c r="H256" s="3" t="s">
        <v>591</v>
      </c>
      <c r="I256" s="3" t="str">
        <f>'Quantity grades'!G103</f>
        <v>Caldie / Vanadis 4 Extra / Vanadis 23</v>
      </c>
      <c r="J256" s="3" t="s">
        <v>592</v>
      </c>
      <c r="K256" s="3" t="s">
        <v>22</v>
      </c>
      <c r="L256" s="10">
        <v>100</v>
      </c>
      <c r="M256" s="10">
        <v>100</v>
      </c>
      <c r="N256" s="10">
        <v>10</v>
      </c>
      <c r="O256" s="11">
        <v>0</v>
      </c>
      <c r="P256" s="10">
        <v>30</v>
      </c>
      <c r="Q256" s="10">
        <v>30</v>
      </c>
      <c r="R256" s="10">
        <v>40</v>
      </c>
      <c r="S256" s="10">
        <v>3</v>
      </c>
      <c r="T256" s="10">
        <v>5</v>
      </c>
      <c r="U256" s="9">
        <f t="shared" si="22"/>
        <v>160</v>
      </c>
      <c r="V256" s="9">
        <f t="shared" si="23"/>
        <v>160</v>
      </c>
      <c r="W256" s="9">
        <f t="shared" si="24"/>
        <v>50</v>
      </c>
      <c r="X256" s="9">
        <f t="shared" si="25"/>
        <v>170</v>
      </c>
      <c r="Y256" s="9">
        <f t="shared" si="26"/>
        <v>170</v>
      </c>
      <c r="Z256" s="9">
        <f t="shared" si="27"/>
        <v>60</v>
      </c>
      <c r="AA256" s="3" t="s">
        <v>616</v>
      </c>
      <c r="AB256" s="3" t="s">
        <v>597</v>
      </c>
    </row>
    <row r="257" spans="1:28" ht="76" customHeight="1">
      <c r="A257" s="6" t="s">
        <v>121</v>
      </c>
      <c r="B257" s="3" t="s">
        <v>202</v>
      </c>
      <c r="C257" s="3" t="s">
        <v>598</v>
      </c>
      <c r="D257" s="13" t="s">
        <v>599</v>
      </c>
      <c r="E257" s="8">
        <v>1</v>
      </c>
      <c r="F257" s="12" t="str">
        <f t="shared" si="21"/>
        <v>Ø110 × 70</v>
      </c>
      <c r="G257" s="3" t="s">
        <v>590</v>
      </c>
      <c r="H257" s="3" t="s">
        <v>591</v>
      </c>
      <c r="I257" s="3" t="str">
        <f>'Quantity grades'!G103</f>
        <v>Caldie / Vanadis 4 Extra / Vanadis 23</v>
      </c>
      <c r="J257" s="3" t="s">
        <v>592</v>
      </c>
      <c r="K257" s="3" t="s">
        <v>29</v>
      </c>
      <c r="L257" s="10">
        <v>100</v>
      </c>
      <c r="M257" s="15">
        <v>100</v>
      </c>
      <c r="N257" s="10">
        <v>40</v>
      </c>
      <c r="O257" s="11">
        <v>0</v>
      </c>
      <c r="P257" s="10">
        <v>0</v>
      </c>
      <c r="Q257" s="10">
        <v>0</v>
      </c>
      <c r="R257" s="10">
        <v>20</v>
      </c>
      <c r="S257" s="10">
        <v>3</v>
      </c>
      <c r="T257" s="10">
        <v>5</v>
      </c>
      <c r="U257" s="9">
        <f t="shared" si="22"/>
        <v>100</v>
      </c>
      <c r="V257" s="9" t="str">
        <f t="shared" si="23"/>
        <v/>
      </c>
      <c r="W257" s="9">
        <f t="shared" si="24"/>
        <v>60</v>
      </c>
      <c r="X257" s="9">
        <f t="shared" si="25"/>
        <v>110</v>
      </c>
      <c r="Y257" s="9" t="str">
        <f t="shared" si="26"/>
        <v/>
      </c>
      <c r="Z257" s="9">
        <f t="shared" si="27"/>
        <v>70</v>
      </c>
      <c r="AA257" s="3" t="s">
        <v>617</v>
      </c>
      <c r="AB257" s="3" t="s">
        <v>601</v>
      </c>
    </row>
    <row r="258" spans="1:28" ht="76" customHeight="1">
      <c r="A258" s="6" t="s">
        <v>121</v>
      </c>
      <c r="B258" s="3" t="s">
        <v>202</v>
      </c>
      <c r="C258" s="3" t="s">
        <v>602</v>
      </c>
      <c r="D258" s="13" t="s">
        <v>364</v>
      </c>
      <c r="E258" s="8">
        <v>1</v>
      </c>
      <c r="F258" s="12" t="str">
        <f t="shared" si="21"/>
        <v>Ø30 × 80</v>
      </c>
      <c r="G258" s="3" t="s">
        <v>590</v>
      </c>
      <c r="H258" s="3" t="s">
        <v>591</v>
      </c>
      <c r="I258" s="3" t="str">
        <f>'Quantity grades'!G103</f>
        <v>Caldie / Vanadis 4 Extra / Vanadis 23</v>
      </c>
      <c r="J258" s="3" t="s">
        <v>592</v>
      </c>
      <c r="K258" s="3" t="s">
        <v>29</v>
      </c>
      <c r="L258" s="10">
        <v>20</v>
      </c>
      <c r="M258" s="15">
        <v>20</v>
      </c>
      <c r="N258" s="10">
        <v>70</v>
      </c>
      <c r="O258" s="11">
        <v>0</v>
      </c>
      <c r="P258" s="10">
        <v>0</v>
      </c>
      <c r="Q258" s="10">
        <v>0</v>
      </c>
      <c r="R258" s="10">
        <v>0</v>
      </c>
      <c r="S258" s="10">
        <v>3</v>
      </c>
      <c r="T258" s="10">
        <v>5</v>
      </c>
      <c r="U258" s="9">
        <f t="shared" si="22"/>
        <v>20</v>
      </c>
      <c r="V258" s="9" t="str">
        <f t="shared" si="23"/>
        <v/>
      </c>
      <c r="W258" s="9">
        <f t="shared" si="24"/>
        <v>70</v>
      </c>
      <c r="X258" s="9">
        <f t="shared" si="25"/>
        <v>30</v>
      </c>
      <c r="Y258" s="9" t="str">
        <f t="shared" si="26"/>
        <v/>
      </c>
      <c r="Z258" s="9">
        <f t="shared" si="27"/>
        <v>80</v>
      </c>
      <c r="AA258" s="3" t="s">
        <v>618</v>
      </c>
      <c r="AB258" s="3" t="s">
        <v>604</v>
      </c>
    </row>
    <row r="259" spans="1:28" ht="76" customHeight="1">
      <c r="A259" s="6" t="s">
        <v>121</v>
      </c>
      <c r="B259" s="3" t="s">
        <v>202</v>
      </c>
      <c r="C259" s="3" t="s">
        <v>605</v>
      </c>
      <c r="D259" s="16" t="s">
        <v>606</v>
      </c>
      <c r="E259" s="8">
        <v>1</v>
      </c>
      <c r="F259" s="12" t="str">
        <f t="shared" si="21"/>
        <v>180 × 180 × 50</v>
      </c>
      <c r="G259" s="3" t="s">
        <v>590</v>
      </c>
      <c r="H259" s="3" t="s">
        <v>591</v>
      </c>
      <c r="I259" s="3" t="s">
        <v>607</v>
      </c>
      <c r="J259" s="3" t="s">
        <v>592</v>
      </c>
      <c r="K259" s="3" t="s">
        <v>22</v>
      </c>
      <c r="L259" s="10">
        <v>170</v>
      </c>
      <c r="M259" s="10">
        <v>170</v>
      </c>
      <c r="N259" s="10">
        <v>40</v>
      </c>
      <c r="O259" s="11">
        <v>0</v>
      </c>
      <c r="P259" s="10">
        <v>0</v>
      </c>
      <c r="Q259" s="10">
        <v>0</v>
      </c>
      <c r="R259" s="10">
        <v>0</v>
      </c>
      <c r="S259" s="10">
        <v>3</v>
      </c>
      <c r="T259" s="10">
        <v>5</v>
      </c>
      <c r="U259" s="9">
        <f t="shared" si="22"/>
        <v>170</v>
      </c>
      <c r="V259" s="9">
        <f t="shared" si="23"/>
        <v>170</v>
      </c>
      <c r="W259" s="9">
        <f t="shared" si="24"/>
        <v>40</v>
      </c>
      <c r="X259" s="9">
        <f t="shared" si="25"/>
        <v>180</v>
      </c>
      <c r="Y259" s="9">
        <f t="shared" si="26"/>
        <v>180</v>
      </c>
      <c r="Z259" s="9">
        <f t="shared" si="27"/>
        <v>50</v>
      </c>
      <c r="AA259" s="3" t="s">
        <v>619</v>
      </c>
      <c r="AB259" s="3" t="s">
        <v>609</v>
      </c>
    </row>
    <row r="260" spans="1:28" ht="76" customHeight="1">
      <c r="A260" s="6" t="s">
        <v>121</v>
      </c>
      <c r="B260" s="3" t="s">
        <v>205</v>
      </c>
      <c r="C260" s="3" t="s">
        <v>589</v>
      </c>
      <c r="D260" s="13" t="s">
        <v>189</v>
      </c>
      <c r="E260" s="8">
        <v>1</v>
      </c>
      <c r="F260" s="12" t="str">
        <f t="shared" si="21"/>
        <v>Ø110 × 80</v>
      </c>
      <c r="G260" s="3" t="s">
        <v>590</v>
      </c>
      <c r="H260" s="3" t="s">
        <v>591</v>
      </c>
      <c r="I260" s="3" t="str">
        <f>'Quantity grades'!G104</f>
        <v>Suitable PM tool steel</v>
      </c>
      <c r="J260" s="3" t="s">
        <v>592</v>
      </c>
      <c r="K260" s="3" t="s">
        <v>29</v>
      </c>
      <c r="L260" s="10">
        <v>100</v>
      </c>
      <c r="M260" s="15">
        <v>100</v>
      </c>
      <c r="N260" s="10">
        <v>40</v>
      </c>
      <c r="O260" s="11">
        <v>0</v>
      </c>
      <c r="P260" s="10">
        <v>0</v>
      </c>
      <c r="Q260" s="10">
        <v>0</v>
      </c>
      <c r="R260" s="10">
        <v>30</v>
      </c>
      <c r="S260" s="10">
        <v>3</v>
      </c>
      <c r="T260" s="10">
        <v>5</v>
      </c>
      <c r="U260" s="9">
        <f t="shared" si="22"/>
        <v>100</v>
      </c>
      <c r="V260" s="9" t="str">
        <f t="shared" si="23"/>
        <v/>
      </c>
      <c r="W260" s="9">
        <f t="shared" si="24"/>
        <v>70</v>
      </c>
      <c r="X260" s="9">
        <f t="shared" si="25"/>
        <v>110</v>
      </c>
      <c r="Y260" s="9" t="str">
        <f t="shared" si="26"/>
        <v/>
      </c>
      <c r="Z260" s="9">
        <f t="shared" si="27"/>
        <v>80</v>
      </c>
      <c r="AA260" s="3" t="s">
        <v>620</v>
      </c>
      <c r="AB260" s="3" t="s">
        <v>594</v>
      </c>
    </row>
    <row r="261" spans="1:28" ht="76" customHeight="1">
      <c r="A261" s="6" t="s">
        <v>121</v>
      </c>
      <c r="B261" s="3" t="s">
        <v>205</v>
      </c>
      <c r="C261" s="3" t="s">
        <v>595</v>
      </c>
      <c r="D261" s="14" t="s">
        <v>196</v>
      </c>
      <c r="E261" s="8">
        <v>1</v>
      </c>
      <c r="F261" s="12" t="str">
        <f t="shared" ref="F261:F324" si="28">IF(K261="Round billet","Ø"&amp;X261&amp;" × "&amp;Z261,X261&amp;" × "&amp;Y261&amp;" × "&amp;Z261)</f>
        <v>170 × 170 × 60</v>
      </c>
      <c r="G261" s="3" t="s">
        <v>590</v>
      </c>
      <c r="H261" s="3" t="s">
        <v>591</v>
      </c>
      <c r="I261" s="3" t="str">
        <f>'Quantity grades'!G104</f>
        <v>Suitable PM tool steel</v>
      </c>
      <c r="J261" s="3" t="s">
        <v>592</v>
      </c>
      <c r="K261" s="3" t="s">
        <v>22</v>
      </c>
      <c r="L261" s="10">
        <v>100</v>
      </c>
      <c r="M261" s="10">
        <v>100</v>
      </c>
      <c r="N261" s="10">
        <v>10</v>
      </c>
      <c r="O261" s="11">
        <v>0</v>
      </c>
      <c r="P261" s="10">
        <v>30</v>
      </c>
      <c r="Q261" s="10">
        <v>30</v>
      </c>
      <c r="R261" s="10">
        <v>40</v>
      </c>
      <c r="S261" s="10">
        <v>3</v>
      </c>
      <c r="T261" s="10">
        <v>5</v>
      </c>
      <c r="U261" s="9">
        <f t="shared" ref="U261:U324" si="29">L261*(1+O261)+2*P261</f>
        <v>160</v>
      </c>
      <c r="V261" s="9">
        <f t="shared" ref="V261:V324" si="30">IF(K261="Round billet","",M261*(1+O261)+2*Q261)</f>
        <v>160</v>
      </c>
      <c r="W261" s="9">
        <f t="shared" ref="W261:W324" si="31">N261*(1+O261)+R261</f>
        <v>50</v>
      </c>
      <c r="X261" s="9">
        <f t="shared" ref="X261:X324" si="32">ROUNDUP((U261+2*S261)/T261,0)*T261</f>
        <v>170</v>
      </c>
      <c r="Y261" s="9">
        <f t="shared" ref="Y261:Y324" si="33">IF(K261="Round billet","",ROUNDUP((V261+2*S261)/T261,0)*T261)</f>
        <v>170</v>
      </c>
      <c r="Z261" s="9">
        <f t="shared" ref="Z261:Z324" si="34">ROUNDUP((W261+2*S261)/T261,0)*T261</f>
        <v>60</v>
      </c>
      <c r="AA261" s="3" t="s">
        <v>621</v>
      </c>
      <c r="AB261" s="3" t="s">
        <v>597</v>
      </c>
    </row>
    <row r="262" spans="1:28" ht="76" customHeight="1">
      <c r="A262" s="6" t="s">
        <v>121</v>
      </c>
      <c r="B262" s="3" t="s">
        <v>205</v>
      </c>
      <c r="C262" s="3" t="s">
        <v>598</v>
      </c>
      <c r="D262" s="13" t="s">
        <v>599</v>
      </c>
      <c r="E262" s="8">
        <v>1</v>
      </c>
      <c r="F262" s="12" t="str">
        <f t="shared" si="28"/>
        <v>Ø110 × 70</v>
      </c>
      <c r="G262" s="3" t="s">
        <v>590</v>
      </c>
      <c r="H262" s="3" t="s">
        <v>591</v>
      </c>
      <c r="I262" s="3" t="str">
        <f>'Quantity grades'!G104</f>
        <v>Suitable PM tool steel</v>
      </c>
      <c r="J262" s="3" t="s">
        <v>592</v>
      </c>
      <c r="K262" s="3" t="s">
        <v>29</v>
      </c>
      <c r="L262" s="10">
        <v>100</v>
      </c>
      <c r="M262" s="15">
        <v>100</v>
      </c>
      <c r="N262" s="10">
        <v>40</v>
      </c>
      <c r="O262" s="11">
        <v>0</v>
      </c>
      <c r="P262" s="10">
        <v>0</v>
      </c>
      <c r="Q262" s="10">
        <v>0</v>
      </c>
      <c r="R262" s="10">
        <v>20</v>
      </c>
      <c r="S262" s="10">
        <v>3</v>
      </c>
      <c r="T262" s="10">
        <v>5</v>
      </c>
      <c r="U262" s="9">
        <f t="shared" si="29"/>
        <v>100</v>
      </c>
      <c r="V262" s="9" t="str">
        <f t="shared" si="30"/>
        <v/>
      </c>
      <c r="W262" s="9">
        <f t="shared" si="31"/>
        <v>60</v>
      </c>
      <c r="X262" s="9">
        <f t="shared" si="32"/>
        <v>110</v>
      </c>
      <c r="Y262" s="9" t="str">
        <f t="shared" si="33"/>
        <v/>
      </c>
      <c r="Z262" s="9">
        <f t="shared" si="34"/>
        <v>70</v>
      </c>
      <c r="AA262" s="3" t="s">
        <v>622</v>
      </c>
      <c r="AB262" s="3" t="s">
        <v>601</v>
      </c>
    </row>
    <row r="263" spans="1:28" ht="76" customHeight="1">
      <c r="A263" s="6" t="s">
        <v>121</v>
      </c>
      <c r="B263" s="3" t="s">
        <v>205</v>
      </c>
      <c r="C263" s="3" t="s">
        <v>602</v>
      </c>
      <c r="D263" s="13" t="s">
        <v>364</v>
      </c>
      <c r="E263" s="8">
        <v>1</v>
      </c>
      <c r="F263" s="12" t="str">
        <f t="shared" si="28"/>
        <v>Ø30 × 80</v>
      </c>
      <c r="G263" s="3" t="s">
        <v>590</v>
      </c>
      <c r="H263" s="3" t="s">
        <v>591</v>
      </c>
      <c r="I263" s="3" t="str">
        <f>'Quantity grades'!G104</f>
        <v>Suitable PM tool steel</v>
      </c>
      <c r="J263" s="3" t="s">
        <v>592</v>
      </c>
      <c r="K263" s="3" t="s">
        <v>29</v>
      </c>
      <c r="L263" s="10">
        <v>20</v>
      </c>
      <c r="M263" s="15">
        <v>20</v>
      </c>
      <c r="N263" s="10">
        <v>70</v>
      </c>
      <c r="O263" s="11">
        <v>0</v>
      </c>
      <c r="P263" s="10">
        <v>0</v>
      </c>
      <c r="Q263" s="10">
        <v>0</v>
      </c>
      <c r="R263" s="10">
        <v>0</v>
      </c>
      <c r="S263" s="10">
        <v>3</v>
      </c>
      <c r="T263" s="10">
        <v>5</v>
      </c>
      <c r="U263" s="9">
        <f t="shared" si="29"/>
        <v>20</v>
      </c>
      <c r="V263" s="9" t="str">
        <f t="shared" si="30"/>
        <v/>
      </c>
      <c r="W263" s="9">
        <f t="shared" si="31"/>
        <v>70</v>
      </c>
      <c r="X263" s="9">
        <f t="shared" si="32"/>
        <v>30</v>
      </c>
      <c r="Y263" s="9" t="str">
        <f t="shared" si="33"/>
        <v/>
      </c>
      <c r="Z263" s="9">
        <f t="shared" si="34"/>
        <v>80</v>
      </c>
      <c r="AA263" s="3" t="s">
        <v>623</v>
      </c>
      <c r="AB263" s="3" t="s">
        <v>604</v>
      </c>
    </row>
    <row r="264" spans="1:28" ht="76" customHeight="1">
      <c r="A264" s="6" t="s">
        <v>121</v>
      </c>
      <c r="B264" s="3" t="s">
        <v>205</v>
      </c>
      <c r="C264" s="3" t="s">
        <v>605</v>
      </c>
      <c r="D264" s="16" t="s">
        <v>606</v>
      </c>
      <c r="E264" s="8">
        <v>1</v>
      </c>
      <c r="F264" s="12" t="str">
        <f t="shared" si="28"/>
        <v>180 × 180 × 50</v>
      </c>
      <c r="G264" s="3" t="s">
        <v>590</v>
      </c>
      <c r="H264" s="3" t="s">
        <v>591</v>
      </c>
      <c r="I264" s="3" t="s">
        <v>607</v>
      </c>
      <c r="J264" s="3" t="s">
        <v>592</v>
      </c>
      <c r="K264" s="3" t="s">
        <v>22</v>
      </c>
      <c r="L264" s="10">
        <v>170</v>
      </c>
      <c r="M264" s="10">
        <v>170</v>
      </c>
      <c r="N264" s="10">
        <v>40</v>
      </c>
      <c r="O264" s="11">
        <v>0</v>
      </c>
      <c r="P264" s="10">
        <v>0</v>
      </c>
      <c r="Q264" s="10">
        <v>0</v>
      </c>
      <c r="R264" s="10">
        <v>0</v>
      </c>
      <c r="S264" s="10">
        <v>3</v>
      </c>
      <c r="T264" s="10">
        <v>5</v>
      </c>
      <c r="U264" s="9">
        <f t="shared" si="29"/>
        <v>170</v>
      </c>
      <c r="V264" s="9">
        <f t="shared" si="30"/>
        <v>170</v>
      </c>
      <c r="W264" s="9">
        <f t="shared" si="31"/>
        <v>40</v>
      </c>
      <c r="X264" s="9">
        <f t="shared" si="32"/>
        <v>180</v>
      </c>
      <c r="Y264" s="9">
        <f t="shared" si="33"/>
        <v>180</v>
      </c>
      <c r="Z264" s="9">
        <f t="shared" si="34"/>
        <v>50</v>
      </c>
      <c r="AA264" s="3" t="s">
        <v>624</v>
      </c>
      <c r="AB264" s="3" t="s">
        <v>609</v>
      </c>
    </row>
    <row r="265" spans="1:28" ht="76" customHeight="1">
      <c r="A265" s="6" t="s">
        <v>121</v>
      </c>
      <c r="B265" s="3" t="s">
        <v>208</v>
      </c>
      <c r="C265" s="3" t="s">
        <v>589</v>
      </c>
      <c r="D265" s="13" t="s">
        <v>189</v>
      </c>
      <c r="E265" s="8">
        <v>1</v>
      </c>
      <c r="F265" s="12" t="str">
        <f t="shared" si="28"/>
        <v>Ø110 × 80</v>
      </c>
      <c r="G265" s="3" t="s">
        <v>590</v>
      </c>
      <c r="H265" s="3" t="s">
        <v>591</v>
      </c>
      <c r="I265" s="3" t="str">
        <f>'Quantity grades'!G105</f>
        <v>Premium PM tool steel</v>
      </c>
      <c r="J265" s="3" t="s">
        <v>592</v>
      </c>
      <c r="K265" s="3" t="s">
        <v>29</v>
      </c>
      <c r="L265" s="10">
        <v>100</v>
      </c>
      <c r="M265" s="15">
        <v>100</v>
      </c>
      <c r="N265" s="10">
        <v>40</v>
      </c>
      <c r="O265" s="11">
        <v>0</v>
      </c>
      <c r="P265" s="10">
        <v>0</v>
      </c>
      <c r="Q265" s="10">
        <v>0</v>
      </c>
      <c r="R265" s="10">
        <v>30</v>
      </c>
      <c r="S265" s="10">
        <v>3</v>
      </c>
      <c r="T265" s="10">
        <v>5</v>
      </c>
      <c r="U265" s="9">
        <f t="shared" si="29"/>
        <v>100</v>
      </c>
      <c r="V265" s="9" t="str">
        <f t="shared" si="30"/>
        <v/>
      </c>
      <c r="W265" s="9">
        <f t="shared" si="31"/>
        <v>70</v>
      </c>
      <c r="X265" s="9">
        <f t="shared" si="32"/>
        <v>110</v>
      </c>
      <c r="Y265" s="9" t="str">
        <f t="shared" si="33"/>
        <v/>
      </c>
      <c r="Z265" s="9">
        <f t="shared" si="34"/>
        <v>80</v>
      </c>
      <c r="AA265" s="3" t="s">
        <v>625</v>
      </c>
      <c r="AB265" s="3" t="s">
        <v>594</v>
      </c>
    </row>
    <row r="266" spans="1:28" ht="76" customHeight="1">
      <c r="A266" s="6" t="s">
        <v>121</v>
      </c>
      <c r="B266" s="3" t="s">
        <v>208</v>
      </c>
      <c r="C266" s="3" t="s">
        <v>595</v>
      </c>
      <c r="D266" s="14" t="s">
        <v>196</v>
      </c>
      <c r="E266" s="8">
        <v>1</v>
      </c>
      <c r="F266" s="12" t="str">
        <f t="shared" si="28"/>
        <v>170 × 170 × 60</v>
      </c>
      <c r="G266" s="3" t="s">
        <v>590</v>
      </c>
      <c r="H266" s="3" t="s">
        <v>591</v>
      </c>
      <c r="I266" s="3" t="str">
        <f>'Quantity grades'!G105</f>
        <v>Premium PM tool steel</v>
      </c>
      <c r="J266" s="3" t="s">
        <v>592</v>
      </c>
      <c r="K266" s="3" t="s">
        <v>22</v>
      </c>
      <c r="L266" s="10">
        <v>100</v>
      </c>
      <c r="M266" s="10">
        <v>100</v>
      </c>
      <c r="N266" s="10">
        <v>10</v>
      </c>
      <c r="O266" s="11">
        <v>0</v>
      </c>
      <c r="P266" s="10">
        <v>30</v>
      </c>
      <c r="Q266" s="10">
        <v>30</v>
      </c>
      <c r="R266" s="10">
        <v>40</v>
      </c>
      <c r="S266" s="10">
        <v>3</v>
      </c>
      <c r="T266" s="10">
        <v>5</v>
      </c>
      <c r="U266" s="9">
        <f t="shared" si="29"/>
        <v>160</v>
      </c>
      <c r="V266" s="9">
        <f t="shared" si="30"/>
        <v>160</v>
      </c>
      <c r="W266" s="9">
        <f t="shared" si="31"/>
        <v>50</v>
      </c>
      <c r="X266" s="9">
        <f t="shared" si="32"/>
        <v>170</v>
      </c>
      <c r="Y266" s="9">
        <f t="shared" si="33"/>
        <v>170</v>
      </c>
      <c r="Z266" s="9">
        <f t="shared" si="34"/>
        <v>60</v>
      </c>
      <c r="AA266" s="3" t="s">
        <v>626</v>
      </c>
      <c r="AB266" s="3" t="s">
        <v>597</v>
      </c>
    </row>
    <row r="267" spans="1:28" ht="76" customHeight="1">
      <c r="A267" s="6" t="s">
        <v>121</v>
      </c>
      <c r="B267" s="3" t="s">
        <v>208</v>
      </c>
      <c r="C267" s="3" t="s">
        <v>598</v>
      </c>
      <c r="D267" s="13" t="s">
        <v>599</v>
      </c>
      <c r="E267" s="8">
        <v>1</v>
      </c>
      <c r="F267" s="12" t="str">
        <f t="shared" si="28"/>
        <v>Ø110 × 70</v>
      </c>
      <c r="G267" s="3" t="s">
        <v>590</v>
      </c>
      <c r="H267" s="3" t="s">
        <v>591</v>
      </c>
      <c r="I267" s="3" t="str">
        <f>'Quantity grades'!G105</f>
        <v>Premium PM tool steel</v>
      </c>
      <c r="J267" s="3" t="s">
        <v>592</v>
      </c>
      <c r="K267" s="3" t="s">
        <v>29</v>
      </c>
      <c r="L267" s="10">
        <v>100</v>
      </c>
      <c r="M267" s="15">
        <v>100</v>
      </c>
      <c r="N267" s="10">
        <v>40</v>
      </c>
      <c r="O267" s="11">
        <v>0</v>
      </c>
      <c r="P267" s="10">
        <v>0</v>
      </c>
      <c r="Q267" s="10">
        <v>0</v>
      </c>
      <c r="R267" s="10">
        <v>20</v>
      </c>
      <c r="S267" s="10">
        <v>3</v>
      </c>
      <c r="T267" s="10">
        <v>5</v>
      </c>
      <c r="U267" s="9">
        <f t="shared" si="29"/>
        <v>100</v>
      </c>
      <c r="V267" s="9" t="str">
        <f t="shared" si="30"/>
        <v/>
      </c>
      <c r="W267" s="9">
        <f t="shared" si="31"/>
        <v>60</v>
      </c>
      <c r="X267" s="9">
        <f t="shared" si="32"/>
        <v>110</v>
      </c>
      <c r="Y267" s="9" t="str">
        <f t="shared" si="33"/>
        <v/>
      </c>
      <c r="Z267" s="9">
        <f t="shared" si="34"/>
        <v>70</v>
      </c>
      <c r="AA267" s="3" t="s">
        <v>627</v>
      </c>
      <c r="AB267" s="3" t="s">
        <v>601</v>
      </c>
    </row>
    <row r="268" spans="1:28" ht="76" customHeight="1">
      <c r="A268" s="6" t="s">
        <v>121</v>
      </c>
      <c r="B268" s="3" t="s">
        <v>208</v>
      </c>
      <c r="C268" s="3" t="s">
        <v>602</v>
      </c>
      <c r="D268" s="13" t="s">
        <v>364</v>
      </c>
      <c r="E268" s="8">
        <v>1</v>
      </c>
      <c r="F268" s="12" t="str">
        <f t="shared" si="28"/>
        <v>Ø30 × 80</v>
      </c>
      <c r="G268" s="3" t="s">
        <v>590</v>
      </c>
      <c r="H268" s="3" t="s">
        <v>591</v>
      </c>
      <c r="I268" s="3" t="str">
        <f>'Quantity grades'!G105</f>
        <v>Premium PM tool steel</v>
      </c>
      <c r="J268" s="3" t="s">
        <v>592</v>
      </c>
      <c r="K268" s="3" t="s">
        <v>29</v>
      </c>
      <c r="L268" s="10">
        <v>20</v>
      </c>
      <c r="M268" s="15">
        <v>20</v>
      </c>
      <c r="N268" s="10">
        <v>70</v>
      </c>
      <c r="O268" s="11">
        <v>0</v>
      </c>
      <c r="P268" s="10">
        <v>0</v>
      </c>
      <c r="Q268" s="10">
        <v>0</v>
      </c>
      <c r="R268" s="10">
        <v>0</v>
      </c>
      <c r="S268" s="10">
        <v>3</v>
      </c>
      <c r="T268" s="10">
        <v>5</v>
      </c>
      <c r="U268" s="9">
        <f t="shared" si="29"/>
        <v>20</v>
      </c>
      <c r="V268" s="9" t="str">
        <f t="shared" si="30"/>
        <v/>
      </c>
      <c r="W268" s="9">
        <f t="shared" si="31"/>
        <v>70</v>
      </c>
      <c r="X268" s="9">
        <f t="shared" si="32"/>
        <v>30</v>
      </c>
      <c r="Y268" s="9" t="str">
        <f t="shared" si="33"/>
        <v/>
      </c>
      <c r="Z268" s="9">
        <f t="shared" si="34"/>
        <v>80</v>
      </c>
      <c r="AA268" s="3" t="s">
        <v>628</v>
      </c>
      <c r="AB268" s="3" t="s">
        <v>604</v>
      </c>
    </row>
    <row r="269" spans="1:28" ht="76" customHeight="1">
      <c r="A269" s="6" t="s">
        <v>121</v>
      </c>
      <c r="B269" s="3" t="s">
        <v>208</v>
      </c>
      <c r="C269" s="3" t="s">
        <v>605</v>
      </c>
      <c r="D269" s="16" t="s">
        <v>606</v>
      </c>
      <c r="E269" s="8">
        <v>1</v>
      </c>
      <c r="F269" s="12" t="str">
        <f t="shared" si="28"/>
        <v>180 × 180 × 50</v>
      </c>
      <c r="G269" s="3" t="s">
        <v>590</v>
      </c>
      <c r="H269" s="3" t="s">
        <v>591</v>
      </c>
      <c r="I269" s="3" t="s">
        <v>607</v>
      </c>
      <c r="J269" s="3" t="s">
        <v>592</v>
      </c>
      <c r="K269" s="3" t="s">
        <v>22</v>
      </c>
      <c r="L269" s="10">
        <v>170</v>
      </c>
      <c r="M269" s="10">
        <v>170</v>
      </c>
      <c r="N269" s="10">
        <v>40</v>
      </c>
      <c r="O269" s="11">
        <v>0</v>
      </c>
      <c r="P269" s="10">
        <v>0</v>
      </c>
      <c r="Q269" s="10">
        <v>0</v>
      </c>
      <c r="R269" s="10">
        <v>0</v>
      </c>
      <c r="S269" s="10">
        <v>3</v>
      </c>
      <c r="T269" s="10">
        <v>5</v>
      </c>
      <c r="U269" s="9">
        <f t="shared" si="29"/>
        <v>170</v>
      </c>
      <c r="V269" s="9">
        <f t="shared" si="30"/>
        <v>170</v>
      </c>
      <c r="W269" s="9">
        <f t="shared" si="31"/>
        <v>40</v>
      </c>
      <c r="X269" s="9">
        <f t="shared" si="32"/>
        <v>180</v>
      </c>
      <c r="Y269" s="9">
        <f t="shared" si="33"/>
        <v>180</v>
      </c>
      <c r="Z269" s="9">
        <f t="shared" si="34"/>
        <v>50</v>
      </c>
      <c r="AA269" s="3" t="s">
        <v>629</v>
      </c>
      <c r="AB269" s="3" t="s">
        <v>609</v>
      </c>
    </row>
    <row r="270" spans="1:28" ht="76" customHeight="1">
      <c r="A270" s="6" t="s">
        <v>121</v>
      </c>
      <c r="B270" s="3" t="s">
        <v>211</v>
      </c>
      <c r="C270" s="3" t="s">
        <v>589</v>
      </c>
      <c r="D270" s="13" t="s">
        <v>189</v>
      </c>
      <c r="E270" s="8">
        <v>1</v>
      </c>
      <c r="F270" s="12" t="str">
        <f t="shared" si="28"/>
        <v>Ø110 × 80</v>
      </c>
      <c r="G270" s="3" t="s">
        <v>590</v>
      </c>
      <c r="H270" s="3" t="s">
        <v>591</v>
      </c>
      <c r="I270" s="3" t="str">
        <f>'Quantity grades'!G106</f>
        <v>Premium PM tool steel; selected carbide inserts</v>
      </c>
      <c r="J270" s="3" t="s">
        <v>592</v>
      </c>
      <c r="K270" s="3" t="s">
        <v>29</v>
      </c>
      <c r="L270" s="10">
        <v>100</v>
      </c>
      <c r="M270" s="15">
        <v>100</v>
      </c>
      <c r="N270" s="10">
        <v>40</v>
      </c>
      <c r="O270" s="11">
        <v>0</v>
      </c>
      <c r="P270" s="10">
        <v>0</v>
      </c>
      <c r="Q270" s="10">
        <v>0</v>
      </c>
      <c r="R270" s="10">
        <v>30</v>
      </c>
      <c r="S270" s="10">
        <v>3</v>
      </c>
      <c r="T270" s="10">
        <v>5</v>
      </c>
      <c r="U270" s="9">
        <f t="shared" si="29"/>
        <v>100</v>
      </c>
      <c r="V270" s="9" t="str">
        <f t="shared" si="30"/>
        <v/>
      </c>
      <c r="W270" s="9">
        <f t="shared" si="31"/>
        <v>70</v>
      </c>
      <c r="X270" s="9">
        <f t="shared" si="32"/>
        <v>110</v>
      </c>
      <c r="Y270" s="9" t="str">
        <f t="shared" si="33"/>
        <v/>
      </c>
      <c r="Z270" s="9">
        <f t="shared" si="34"/>
        <v>80</v>
      </c>
      <c r="AA270" s="3" t="s">
        <v>630</v>
      </c>
      <c r="AB270" s="3" t="s">
        <v>594</v>
      </c>
    </row>
    <row r="271" spans="1:28" ht="76" customHeight="1">
      <c r="A271" s="6" t="s">
        <v>121</v>
      </c>
      <c r="B271" s="3" t="s">
        <v>211</v>
      </c>
      <c r="C271" s="3" t="s">
        <v>595</v>
      </c>
      <c r="D271" s="14" t="s">
        <v>196</v>
      </c>
      <c r="E271" s="8">
        <v>1</v>
      </c>
      <c r="F271" s="12" t="str">
        <f t="shared" si="28"/>
        <v>170 × 170 × 60</v>
      </c>
      <c r="G271" s="3" t="s">
        <v>590</v>
      </c>
      <c r="H271" s="3" t="s">
        <v>591</v>
      </c>
      <c r="I271" s="3" t="str">
        <f>'Quantity grades'!G106</f>
        <v>Premium PM tool steel; selected carbide inserts</v>
      </c>
      <c r="J271" s="3" t="s">
        <v>592</v>
      </c>
      <c r="K271" s="3" t="s">
        <v>22</v>
      </c>
      <c r="L271" s="10">
        <v>100</v>
      </c>
      <c r="M271" s="10">
        <v>100</v>
      </c>
      <c r="N271" s="10">
        <v>10</v>
      </c>
      <c r="O271" s="11">
        <v>0</v>
      </c>
      <c r="P271" s="10">
        <v>30</v>
      </c>
      <c r="Q271" s="10">
        <v>30</v>
      </c>
      <c r="R271" s="10">
        <v>40</v>
      </c>
      <c r="S271" s="10">
        <v>3</v>
      </c>
      <c r="T271" s="10">
        <v>5</v>
      </c>
      <c r="U271" s="9">
        <f t="shared" si="29"/>
        <v>160</v>
      </c>
      <c r="V271" s="9">
        <f t="shared" si="30"/>
        <v>160</v>
      </c>
      <c r="W271" s="9">
        <f t="shared" si="31"/>
        <v>50</v>
      </c>
      <c r="X271" s="9">
        <f t="shared" si="32"/>
        <v>170</v>
      </c>
      <c r="Y271" s="9">
        <f t="shared" si="33"/>
        <v>170</v>
      </c>
      <c r="Z271" s="9">
        <f t="shared" si="34"/>
        <v>60</v>
      </c>
      <c r="AA271" s="3" t="s">
        <v>631</v>
      </c>
      <c r="AB271" s="3" t="s">
        <v>597</v>
      </c>
    </row>
    <row r="272" spans="1:28" ht="76" customHeight="1">
      <c r="A272" s="6" t="s">
        <v>121</v>
      </c>
      <c r="B272" s="3" t="s">
        <v>211</v>
      </c>
      <c r="C272" s="3" t="s">
        <v>598</v>
      </c>
      <c r="D272" s="13" t="s">
        <v>599</v>
      </c>
      <c r="E272" s="8">
        <v>1</v>
      </c>
      <c r="F272" s="12" t="str">
        <f t="shared" si="28"/>
        <v>Ø110 × 70</v>
      </c>
      <c r="G272" s="3" t="s">
        <v>590</v>
      </c>
      <c r="H272" s="3" t="s">
        <v>591</v>
      </c>
      <c r="I272" s="3" t="str">
        <f>'Quantity grades'!G106</f>
        <v>Premium PM tool steel; selected carbide inserts</v>
      </c>
      <c r="J272" s="3" t="s">
        <v>592</v>
      </c>
      <c r="K272" s="3" t="s">
        <v>29</v>
      </c>
      <c r="L272" s="10">
        <v>100</v>
      </c>
      <c r="M272" s="15">
        <v>100</v>
      </c>
      <c r="N272" s="10">
        <v>40</v>
      </c>
      <c r="O272" s="11">
        <v>0</v>
      </c>
      <c r="P272" s="10">
        <v>0</v>
      </c>
      <c r="Q272" s="10">
        <v>0</v>
      </c>
      <c r="R272" s="10">
        <v>20</v>
      </c>
      <c r="S272" s="10">
        <v>3</v>
      </c>
      <c r="T272" s="10">
        <v>5</v>
      </c>
      <c r="U272" s="9">
        <f t="shared" si="29"/>
        <v>100</v>
      </c>
      <c r="V272" s="9" t="str">
        <f t="shared" si="30"/>
        <v/>
      </c>
      <c r="W272" s="9">
        <f t="shared" si="31"/>
        <v>60</v>
      </c>
      <c r="X272" s="9">
        <f t="shared" si="32"/>
        <v>110</v>
      </c>
      <c r="Y272" s="9" t="str">
        <f t="shared" si="33"/>
        <v/>
      </c>
      <c r="Z272" s="9">
        <f t="shared" si="34"/>
        <v>70</v>
      </c>
      <c r="AA272" s="3" t="s">
        <v>632</v>
      </c>
      <c r="AB272" s="3" t="s">
        <v>601</v>
      </c>
    </row>
    <row r="273" spans="1:28" ht="76" customHeight="1">
      <c r="A273" s="6" t="s">
        <v>121</v>
      </c>
      <c r="B273" s="3" t="s">
        <v>211</v>
      </c>
      <c r="C273" s="3" t="s">
        <v>602</v>
      </c>
      <c r="D273" s="13" t="s">
        <v>364</v>
      </c>
      <c r="E273" s="8">
        <v>1</v>
      </c>
      <c r="F273" s="12" t="str">
        <f t="shared" si="28"/>
        <v>Ø30 × 80</v>
      </c>
      <c r="G273" s="3" t="s">
        <v>590</v>
      </c>
      <c r="H273" s="3" t="s">
        <v>591</v>
      </c>
      <c r="I273" s="3" t="str">
        <f>'Quantity grades'!G106</f>
        <v>Premium PM tool steel; selected carbide inserts</v>
      </c>
      <c r="J273" s="3" t="s">
        <v>592</v>
      </c>
      <c r="K273" s="3" t="s">
        <v>29</v>
      </c>
      <c r="L273" s="10">
        <v>20</v>
      </c>
      <c r="M273" s="15">
        <v>20</v>
      </c>
      <c r="N273" s="10">
        <v>70</v>
      </c>
      <c r="O273" s="11">
        <v>0</v>
      </c>
      <c r="P273" s="10">
        <v>0</v>
      </c>
      <c r="Q273" s="10">
        <v>0</v>
      </c>
      <c r="R273" s="10">
        <v>0</v>
      </c>
      <c r="S273" s="10">
        <v>3</v>
      </c>
      <c r="T273" s="10">
        <v>5</v>
      </c>
      <c r="U273" s="9">
        <f t="shared" si="29"/>
        <v>20</v>
      </c>
      <c r="V273" s="9" t="str">
        <f t="shared" si="30"/>
        <v/>
      </c>
      <c r="W273" s="9">
        <f t="shared" si="31"/>
        <v>70</v>
      </c>
      <c r="X273" s="9">
        <f t="shared" si="32"/>
        <v>30</v>
      </c>
      <c r="Y273" s="9" t="str">
        <f t="shared" si="33"/>
        <v/>
      </c>
      <c r="Z273" s="9">
        <f t="shared" si="34"/>
        <v>80</v>
      </c>
      <c r="AA273" s="3" t="s">
        <v>633</v>
      </c>
      <c r="AB273" s="3" t="s">
        <v>604</v>
      </c>
    </row>
    <row r="274" spans="1:28" ht="76" customHeight="1">
      <c r="A274" s="6" t="s">
        <v>121</v>
      </c>
      <c r="B274" s="3" t="s">
        <v>211</v>
      </c>
      <c r="C274" s="3" t="s">
        <v>605</v>
      </c>
      <c r="D274" s="16" t="s">
        <v>606</v>
      </c>
      <c r="E274" s="8">
        <v>1</v>
      </c>
      <c r="F274" s="12" t="str">
        <f t="shared" si="28"/>
        <v>180 × 180 × 50</v>
      </c>
      <c r="G274" s="3" t="s">
        <v>590</v>
      </c>
      <c r="H274" s="3" t="s">
        <v>591</v>
      </c>
      <c r="I274" s="3" t="s">
        <v>607</v>
      </c>
      <c r="J274" s="3" t="s">
        <v>592</v>
      </c>
      <c r="K274" s="3" t="s">
        <v>22</v>
      </c>
      <c r="L274" s="10">
        <v>170</v>
      </c>
      <c r="M274" s="10">
        <v>170</v>
      </c>
      <c r="N274" s="10">
        <v>40</v>
      </c>
      <c r="O274" s="11">
        <v>0</v>
      </c>
      <c r="P274" s="10">
        <v>0</v>
      </c>
      <c r="Q274" s="10">
        <v>0</v>
      </c>
      <c r="R274" s="10">
        <v>0</v>
      </c>
      <c r="S274" s="10">
        <v>3</v>
      </c>
      <c r="T274" s="10">
        <v>5</v>
      </c>
      <c r="U274" s="9">
        <f t="shared" si="29"/>
        <v>170</v>
      </c>
      <c r="V274" s="9">
        <f t="shared" si="30"/>
        <v>170</v>
      </c>
      <c r="W274" s="9">
        <f t="shared" si="31"/>
        <v>40</v>
      </c>
      <c r="X274" s="9">
        <f t="shared" si="32"/>
        <v>180</v>
      </c>
      <c r="Y274" s="9">
        <f t="shared" si="33"/>
        <v>180</v>
      </c>
      <c r="Z274" s="9">
        <f t="shared" si="34"/>
        <v>50</v>
      </c>
      <c r="AA274" s="3" t="s">
        <v>634</v>
      </c>
      <c r="AB274" s="3" t="s">
        <v>609</v>
      </c>
    </row>
    <row r="275" spans="1:28" ht="76" customHeight="1">
      <c r="A275" s="6" t="s">
        <v>130</v>
      </c>
      <c r="B275" s="3" t="s">
        <v>187</v>
      </c>
      <c r="C275" s="3" t="s">
        <v>635</v>
      </c>
      <c r="D275" s="16" t="s">
        <v>225</v>
      </c>
      <c r="E275" s="8">
        <v>1</v>
      </c>
      <c r="F275" s="12" t="str">
        <f t="shared" si="28"/>
        <v>370 × 200 × 50</v>
      </c>
      <c r="G275" s="3" t="s">
        <v>636</v>
      </c>
      <c r="H275" s="3" t="s">
        <v>637</v>
      </c>
      <c r="I275" s="3" t="s">
        <v>638</v>
      </c>
      <c r="J275" s="3" t="s">
        <v>639</v>
      </c>
      <c r="K275" s="3" t="s">
        <v>22</v>
      </c>
      <c r="L275" s="10">
        <v>280</v>
      </c>
      <c r="M275" s="10">
        <v>110</v>
      </c>
      <c r="N275" s="10">
        <v>25</v>
      </c>
      <c r="O275" s="11">
        <v>0</v>
      </c>
      <c r="P275" s="10">
        <v>40</v>
      </c>
      <c r="Q275" s="10">
        <v>40</v>
      </c>
      <c r="R275" s="10">
        <v>15</v>
      </c>
      <c r="S275" s="10">
        <v>3</v>
      </c>
      <c r="T275" s="10">
        <v>5</v>
      </c>
      <c r="U275" s="9">
        <f t="shared" si="29"/>
        <v>360</v>
      </c>
      <c r="V275" s="9">
        <f t="shared" si="30"/>
        <v>190</v>
      </c>
      <c r="W275" s="9">
        <f t="shared" si="31"/>
        <v>40</v>
      </c>
      <c r="X275" s="9">
        <f t="shared" si="32"/>
        <v>370</v>
      </c>
      <c r="Y275" s="9">
        <f t="shared" si="33"/>
        <v>200</v>
      </c>
      <c r="Z275" s="9">
        <f t="shared" si="34"/>
        <v>50</v>
      </c>
      <c r="AA275" s="3" t="s">
        <v>640</v>
      </c>
      <c r="AB275" s="3" t="s">
        <v>641</v>
      </c>
    </row>
    <row r="276" spans="1:28" ht="76" customHeight="1">
      <c r="A276" s="6" t="s">
        <v>130</v>
      </c>
      <c r="B276" s="3" t="s">
        <v>187</v>
      </c>
      <c r="C276" s="3" t="s">
        <v>642</v>
      </c>
      <c r="D276" s="16" t="s">
        <v>225</v>
      </c>
      <c r="E276" s="8">
        <v>1</v>
      </c>
      <c r="F276" s="12" t="str">
        <f t="shared" si="28"/>
        <v>370 × 200 × 60</v>
      </c>
      <c r="G276" s="3" t="s">
        <v>636</v>
      </c>
      <c r="H276" s="3" t="s">
        <v>637</v>
      </c>
      <c r="I276" s="3" t="s">
        <v>638</v>
      </c>
      <c r="J276" s="3" t="s">
        <v>639</v>
      </c>
      <c r="K276" s="3" t="s">
        <v>22</v>
      </c>
      <c r="L276" s="10">
        <v>280</v>
      </c>
      <c r="M276" s="10">
        <v>110</v>
      </c>
      <c r="N276" s="10">
        <v>25</v>
      </c>
      <c r="O276" s="11">
        <v>0</v>
      </c>
      <c r="P276" s="10">
        <v>40</v>
      </c>
      <c r="Q276" s="10">
        <v>40</v>
      </c>
      <c r="R276" s="10">
        <v>25</v>
      </c>
      <c r="S276" s="10">
        <v>3</v>
      </c>
      <c r="T276" s="10">
        <v>5</v>
      </c>
      <c r="U276" s="9">
        <f t="shared" si="29"/>
        <v>360</v>
      </c>
      <c r="V276" s="9">
        <f t="shared" si="30"/>
        <v>190</v>
      </c>
      <c r="W276" s="9">
        <f t="shared" si="31"/>
        <v>50</v>
      </c>
      <c r="X276" s="9">
        <f t="shared" si="32"/>
        <v>370</v>
      </c>
      <c r="Y276" s="9">
        <f t="shared" si="33"/>
        <v>200</v>
      </c>
      <c r="Z276" s="9">
        <f t="shared" si="34"/>
        <v>60</v>
      </c>
      <c r="AA276" s="3" t="s">
        <v>643</v>
      </c>
      <c r="AB276" s="3" t="s">
        <v>644</v>
      </c>
    </row>
    <row r="277" spans="1:28" ht="76" customHeight="1">
      <c r="A277" s="6" t="s">
        <v>130</v>
      </c>
      <c r="B277" s="3" t="s">
        <v>187</v>
      </c>
      <c r="C277" s="3" t="s">
        <v>645</v>
      </c>
      <c r="D277" s="13" t="s">
        <v>189</v>
      </c>
      <c r="E277" s="8">
        <v>1</v>
      </c>
      <c r="F277" s="12" t="str">
        <f t="shared" si="28"/>
        <v>80 × 100 × 60</v>
      </c>
      <c r="G277" s="3" t="s">
        <v>636</v>
      </c>
      <c r="H277" s="3" t="s">
        <v>637</v>
      </c>
      <c r="I277" s="3" t="str">
        <f>'Quantity grades'!G107</f>
        <v>A2 / D2 inserts</v>
      </c>
      <c r="J277" s="3" t="s">
        <v>639</v>
      </c>
      <c r="K277" s="3" t="s">
        <v>22</v>
      </c>
      <c r="L277" s="10">
        <v>60</v>
      </c>
      <c r="M277" s="10">
        <v>80</v>
      </c>
      <c r="N277" s="10">
        <v>30</v>
      </c>
      <c r="O277" s="11">
        <v>0</v>
      </c>
      <c r="P277" s="10">
        <v>5</v>
      </c>
      <c r="Q277" s="10">
        <v>5</v>
      </c>
      <c r="R277" s="10">
        <v>20</v>
      </c>
      <c r="S277" s="10">
        <v>3</v>
      </c>
      <c r="T277" s="10">
        <v>5</v>
      </c>
      <c r="U277" s="9">
        <f t="shared" si="29"/>
        <v>70</v>
      </c>
      <c r="V277" s="9">
        <f t="shared" si="30"/>
        <v>90</v>
      </c>
      <c r="W277" s="9">
        <f t="shared" si="31"/>
        <v>50</v>
      </c>
      <c r="X277" s="9">
        <f t="shared" si="32"/>
        <v>80</v>
      </c>
      <c r="Y277" s="9">
        <f t="shared" si="33"/>
        <v>100</v>
      </c>
      <c r="Z277" s="9">
        <f t="shared" si="34"/>
        <v>60</v>
      </c>
      <c r="AA277" s="3" t="s">
        <v>646</v>
      </c>
      <c r="AB277" s="3" t="s">
        <v>647</v>
      </c>
    </row>
    <row r="278" spans="1:28" ht="76" customHeight="1">
      <c r="A278" s="6" t="s">
        <v>130</v>
      </c>
      <c r="B278" s="3" t="s">
        <v>187</v>
      </c>
      <c r="C278" s="3" t="s">
        <v>648</v>
      </c>
      <c r="D278" s="14" t="s">
        <v>196</v>
      </c>
      <c r="E278" s="8">
        <v>1</v>
      </c>
      <c r="F278" s="12" t="str">
        <f t="shared" si="28"/>
        <v>100 × 120 × 40</v>
      </c>
      <c r="G278" s="3" t="s">
        <v>636</v>
      </c>
      <c r="H278" s="3" t="s">
        <v>637</v>
      </c>
      <c r="I278" s="3" t="str">
        <f>'Quantity grades'!G107</f>
        <v>A2 / D2 inserts</v>
      </c>
      <c r="J278" s="3" t="s">
        <v>639</v>
      </c>
      <c r="K278" s="3" t="s">
        <v>22</v>
      </c>
      <c r="L278" s="10">
        <v>60</v>
      </c>
      <c r="M278" s="10">
        <v>80</v>
      </c>
      <c r="N278" s="10">
        <v>10</v>
      </c>
      <c r="O278" s="11">
        <v>0</v>
      </c>
      <c r="P278" s="10">
        <v>15</v>
      </c>
      <c r="Q278" s="10">
        <v>15</v>
      </c>
      <c r="R278" s="10">
        <v>20</v>
      </c>
      <c r="S278" s="10">
        <v>3</v>
      </c>
      <c r="T278" s="10">
        <v>5</v>
      </c>
      <c r="U278" s="9">
        <f t="shared" si="29"/>
        <v>90</v>
      </c>
      <c r="V278" s="9">
        <f t="shared" si="30"/>
        <v>110</v>
      </c>
      <c r="W278" s="9">
        <f t="shared" si="31"/>
        <v>30</v>
      </c>
      <c r="X278" s="9">
        <f t="shared" si="32"/>
        <v>100</v>
      </c>
      <c r="Y278" s="9">
        <f t="shared" si="33"/>
        <v>120</v>
      </c>
      <c r="Z278" s="9">
        <f t="shared" si="34"/>
        <v>40</v>
      </c>
      <c r="AA278" s="3" t="s">
        <v>649</v>
      </c>
      <c r="AB278" s="3" t="s">
        <v>650</v>
      </c>
    </row>
    <row r="279" spans="1:28" ht="76" customHeight="1">
      <c r="A279" s="6" t="s">
        <v>130</v>
      </c>
      <c r="B279" s="3" t="s">
        <v>187</v>
      </c>
      <c r="C279" s="3" t="s">
        <v>188</v>
      </c>
      <c r="D279" s="13" t="s">
        <v>189</v>
      </c>
      <c r="E279" s="8">
        <v>2</v>
      </c>
      <c r="F279" s="12" t="str">
        <f t="shared" si="28"/>
        <v>80 × 60 × 60</v>
      </c>
      <c r="G279" s="3" t="s">
        <v>636</v>
      </c>
      <c r="H279" s="3" t="s">
        <v>637</v>
      </c>
      <c r="I279" s="3" t="str">
        <f>'Quantity grades'!G107</f>
        <v>A2 / D2 inserts</v>
      </c>
      <c r="J279" s="3" t="s">
        <v>639</v>
      </c>
      <c r="K279" s="3" t="s">
        <v>22</v>
      </c>
      <c r="L279" s="10">
        <v>60</v>
      </c>
      <c r="M279" s="10">
        <v>40</v>
      </c>
      <c r="N279" s="10">
        <v>30</v>
      </c>
      <c r="O279" s="11">
        <v>0</v>
      </c>
      <c r="P279" s="10">
        <v>5</v>
      </c>
      <c r="Q279" s="10">
        <v>5</v>
      </c>
      <c r="R279" s="10">
        <v>20</v>
      </c>
      <c r="S279" s="10">
        <v>3</v>
      </c>
      <c r="T279" s="10">
        <v>5</v>
      </c>
      <c r="U279" s="9">
        <f t="shared" si="29"/>
        <v>70</v>
      </c>
      <c r="V279" s="9">
        <f t="shared" si="30"/>
        <v>50</v>
      </c>
      <c r="W279" s="9">
        <f t="shared" si="31"/>
        <v>50</v>
      </c>
      <c r="X279" s="9">
        <f t="shared" si="32"/>
        <v>80</v>
      </c>
      <c r="Y279" s="9">
        <f t="shared" si="33"/>
        <v>60</v>
      </c>
      <c r="Z279" s="9">
        <f t="shared" si="34"/>
        <v>60</v>
      </c>
      <c r="AA279" s="3" t="s">
        <v>651</v>
      </c>
      <c r="AB279" s="3" t="s">
        <v>652</v>
      </c>
    </row>
    <row r="280" spans="1:28" ht="76" customHeight="1">
      <c r="A280" s="6" t="s">
        <v>130</v>
      </c>
      <c r="B280" s="3" t="s">
        <v>187</v>
      </c>
      <c r="C280" s="3" t="s">
        <v>653</v>
      </c>
      <c r="D280" s="14" t="s">
        <v>196</v>
      </c>
      <c r="E280" s="8">
        <v>2</v>
      </c>
      <c r="F280" s="12" t="str">
        <f t="shared" si="28"/>
        <v>90 × 70 × 50</v>
      </c>
      <c r="G280" s="3" t="s">
        <v>636</v>
      </c>
      <c r="H280" s="3" t="s">
        <v>637</v>
      </c>
      <c r="I280" s="3" t="str">
        <f>'Quantity grades'!G107</f>
        <v>A2 / D2 inserts</v>
      </c>
      <c r="J280" s="3" t="s">
        <v>639</v>
      </c>
      <c r="K280" s="3" t="s">
        <v>22</v>
      </c>
      <c r="L280" s="10">
        <v>60</v>
      </c>
      <c r="M280" s="10">
        <v>40</v>
      </c>
      <c r="N280" s="10">
        <v>20</v>
      </c>
      <c r="O280" s="11">
        <v>0</v>
      </c>
      <c r="P280" s="10">
        <v>10</v>
      </c>
      <c r="Q280" s="10">
        <v>10</v>
      </c>
      <c r="R280" s="10">
        <v>20</v>
      </c>
      <c r="S280" s="10">
        <v>3</v>
      </c>
      <c r="T280" s="10">
        <v>5</v>
      </c>
      <c r="U280" s="9">
        <f t="shared" si="29"/>
        <v>80</v>
      </c>
      <c r="V280" s="9">
        <f t="shared" si="30"/>
        <v>60</v>
      </c>
      <c r="W280" s="9">
        <f t="shared" si="31"/>
        <v>40</v>
      </c>
      <c r="X280" s="9">
        <f t="shared" si="32"/>
        <v>90</v>
      </c>
      <c r="Y280" s="9">
        <f t="shared" si="33"/>
        <v>70</v>
      </c>
      <c r="Z280" s="9">
        <f t="shared" si="34"/>
        <v>50</v>
      </c>
      <c r="AA280" s="3" t="s">
        <v>654</v>
      </c>
      <c r="AB280" s="3" t="s">
        <v>655</v>
      </c>
    </row>
    <row r="281" spans="1:28" ht="76" customHeight="1">
      <c r="A281" s="6" t="s">
        <v>130</v>
      </c>
      <c r="B281" s="3" t="s">
        <v>187</v>
      </c>
      <c r="C281" s="3" t="s">
        <v>656</v>
      </c>
      <c r="D281" s="13" t="s">
        <v>364</v>
      </c>
      <c r="E281" s="8">
        <v>2</v>
      </c>
      <c r="F281" s="12" t="str">
        <f t="shared" si="28"/>
        <v>Ø8 × 62</v>
      </c>
      <c r="G281" s="3" t="s">
        <v>636</v>
      </c>
      <c r="H281" s="3" t="s">
        <v>637</v>
      </c>
      <c r="I281" s="3" t="str">
        <f>'Quantity grades'!G107</f>
        <v>A2 / D2 inserts</v>
      </c>
      <c r="J281" s="3" t="s">
        <v>639</v>
      </c>
      <c r="K281" s="3" t="s">
        <v>29</v>
      </c>
      <c r="L281" s="10">
        <v>6</v>
      </c>
      <c r="M281" s="15">
        <v>6</v>
      </c>
      <c r="N281" s="10">
        <v>60</v>
      </c>
      <c r="O281" s="11">
        <v>0</v>
      </c>
      <c r="P281" s="10">
        <v>0</v>
      </c>
      <c r="Q281" s="10">
        <v>0</v>
      </c>
      <c r="R281" s="10">
        <v>0</v>
      </c>
      <c r="S281" s="10">
        <v>1</v>
      </c>
      <c r="T281" s="10">
        <v>1</v>
      </c>
      <c r="U281" s="9">
        <f t="shared" si="29"/>
        <v>6</v>
      </c>
      <c r="V281" s="9" t="str">
        <f t="shared" si="30"/>
        <v/>
      </c>
      <c r="W281" s="9">
        <f t="shared" si="31"/>
        <v>60</v>
      </c>
      <c r="X281" s="9">
        <f t="shared" si="32"/>
        <v>8</v>
      </c>
      <c r="Y281" s="9" t="str">
        <f t="shared" si="33"/>
        <v/>
      </c>
      <c r="Z281" s="9">
        <f t="shared" si="34"/>
        <v>62</v>
      </c>
      <c r="AA281" s="3" t="s">
        <v>657</v>
      </c>
      <c r="AB281" s="3" t="s">
        <v>658</v>
      </c>
    </row>
    <row r="282" spans="1:28" ht="76" customHeight="1">
      <c r="A282" s="6" t="s">
        <v>130</v>
      </c>
      <c r="B282" s="3" t="s">
        <v>199</v>
      </c>
      <c r="C282" s="3" t="s">
        <v>635</v>
      </c>
      <c r="D282" s="16" t="s">
        <v>225</v>
      </c>
      <c r="E282" s="8">
        <v>1</v>
      </c>
      <c r="F282" s="12" t="str">
        <f t="shared" si="28"/>
        <v>370 × 200 × 50</v>
      </c>
      <c r="G282" s="3" t="s">
        <v>636</v>
      </c>
      <c r="H282" s="3" t="s">
        <v>637</v>
      </c>
      <c r="I282" s="3" t="s">
        <v>638</v>
      </c>
      <c r="J282" s="3" t="s">
        <v>639</v>
      </c>
      <c r="K282" s="3" t="s">
        <v>22</v>
      </c>
      <c r="L282" s="10">
        <v>280</v>
      </c>
      <c r="M282" s="10">
        <v>110</v>
      </c>
      <c r="N282" s="10">
        <v>25</v>
      </c>
      <c r="O282" s="11">
        <v>0</v>
      </c>
      <c r="P282" s="10">
        <v>40</v>
      </c>
      <c r="Q282" s="10">
        <v>40</v>
      </c>
      <c r="R282" s="10">
        <v>15</v>
      </c>
      <c r="S282" s="10">
        <v>3</v>
      </c>
      <c r="T282" s="10">
        <v>5</v>
      </c>
      <c r="U282" s="9">
        <f t="shared" si="29"/>
        <v>360</v>
      </c>
      <c r="V282" s="9">
        <f t="shared" si="30"/>
        <v>190</v>
      </c>
      <c r="W282" s="9">
        <f t="shared" si="31"/>
        <v>40</v>
      </c>
      <c r="X282" s="9">
        <f t="shared" si="32"/>
        <v>370</v>
      </c>
      <c r="Y282" s="9">
        <f t="shared" si="33"/>
        <v>200</v>
      </c>
      <c r="Z282" s="9">
        <f t="shared" si="34"/>
        <v>50</v>
      </c>
      <c r="AA282" s="3" t="s">
        <v>659</v>
      </c>
      <c r="AB282" s="3" t="s">
        <v>641</v>
      </c>
    </row>
    <row r="283" spans="1:28" ht="76" customHeight="1">
      <c r="A283" s="6" t="s">
        <v>130</v>
      </c>
      <c r="B283" s="3" t="s">
        <v>199</v>
      </c>
      <c r="C283" s="3" t="s">
        <v>642</v>
      </c>
      <c r="D283" s="16" t="s">
        <v>225</v>
      </c>
      <c r="E283" s="8">
        <v>1</v>
      </c>
      <c r="F283" s="12" t="str">
        <f t="shared" si="28"/>
        <v>370 × 200 × 60</v>
      </c>
      <c r="G283" s="3" t="s">
        <v>636</v>
      </c>
      <c r="H283" s="3" t="s">
        <v>637</v>
      </c>
      <c r="I283" s="3" t="s">
        <v>638</v>
      </c>
      <c r="J283" s="3" t="s">
        <v>639</v>
      </c>
      <c r="K283" s="3" t="s">
        <v>22</v>
      </c>
      <c r="L283" s="10">
        <v>280</v>
      </c>
      <c r="M283" s="10">
        <v>110</v>
      </c>
      <c r="N283" s="10">
        <v>25</v>
      </c>
      <c r="O283" s="11">
        <v>0</v>
      </c>
      <c r="P283" s="10">
        <v>40</v>
      </c>
      <c r="Q283" s="10">
        <v>40</v>
      </c>
      <c r="R283" s="10">
        <v>25</v>
      </c>
      <c r="S283" s="10">
        <v>3</v>
      </c>
      <c r="T283" s="10">
        <v>5</v>
      </c>
      <c r="U283" s="9">
        <f t="shared" si="29"/>
        <v>360</v>
      </c>
      <c r="V283" s="9">
        <f t="shared" si="30"/>
        <v>190</v>
      </c>
      <c r="W283" s="9">
        <f t="shared" si="31"/>
        <v>50</v>
      </c>
      <c r="X283" s="9">
        <f t="shared" si="32"/>
        <v>370</v>
      </c>
      <c r="Y283" s="9">
        <f t="shared" si="33"/>
        <v>200</v>
      </c>
      <c r="Z283" s="9">
        <f t="shared" si="34"/>
        <v>60</v>
      </c>
      <c r="AA283" s="3" t="s">
        <v>660</v>
      </c>
      <c r="AB283" s="3" t="s">
        <v>644</v>
      </c>
    </row>
    <row r="284" spans="1:28" ht="76" customHeight="1">
      <c r="A284" s="6" t="s">
        <v>130</v>
      </c>
      <c r="B284" s="3" t="s">
        <v>199</v>
      </c>
      <c r="C284" s="3" t="s">
        <v>645</v>
      </c>
      <c r="D284" s="13" t="s">
        <v>189</v>
      </c>
      <c r="E284" s="8">
        <v>1</v>
      </c>
      <c r="F284" s="12" t="str">
        <f t="shared" si="28"/>
        <v>80 × 100 × 60</v>
      </c>
      <c r="G284" s="3" t="s">
        <v>636</v>
      </c>
      <c r="H284" s="3" t="s">
        <v>637</v>
      </c>
      <c r="I284" s="3" t="str">
        <f>'Quantity grades'!G108</f>
        <v>A2 / D2</v>
      </c>
      <c r="J284" s="3" t="s">
        <v>639</v>
      </c>
      <c r="K284" s="3" t="s">
        <v>22</v>
      </c>
      <c r="L284" s="10">
        <v>60</v>
      </c>
      <c r="M284" s="10">
        <v>80</v>
      </c>
      <c r="N284" s="10">
        <v>30</v>
      </c>
      <c r="O284" s="11">
        <v>0</v>
      </c>
      <c r="P284" s="10">
        <v>5</v>
      </c>
      <c r="Q284" s="10">
        <v>5</v>
      </c>
      <c r="R284" s="10">
        <v>20</v>
      </c>
      <c r="S284" s="10">
        <v>3</v>
      </c>
      <c r="T284" s="10">
        <v>5</v>
      </c>
      <c r="U284" s="9">
        <f t="shared" si="29"/>
        <v>70</v>
      </c>
      <c r="V284" s="9">
        <f t="shared" si="30"/>
        <v>90</v>
      </c>
      <c r="W284" s="9">
        <f t="shared" si="31"/>
        <v>50</v>
      </c>
      <c r="X284" s="9">
        <f t="shared" si="32"/>
        <v>80</v>
      </c>
      <c r="Y284" s="9">
        <f t="shared" si="33"/>
        <v>100</v>
      </c>
      <c r="Z284" s="9">
        <f t="shared" si="34"/>
        <v>60</v>
      </c>
      <c r="AA284" s="3" t="s">
        <v>661</v>
      </c>
      <c r="AB284" s="3" t="s">
        <v>647</v>
      </c>
    </row>
    <row r="285" spans="1:28" ht="76" customHeight="1">
      <c r="A285" s="6" t="s">
        <v>130</v>
      </c>
      <c r="B285" s="3" t="s">
        <v>199</v>
      </c>
      <c r="C285" s="3" t="s">
        <v>648</v>
      </c>
      <c r="D285" s="14" t="s">
        <v>196</v>
      </c>
      <c r="E285" s="8">
        <v>1</v>
      </c>
      <c r="F285" s="12" t="str">
        <f t="shared" si="28"/>
        <v>100 × 120 × 40</v>
      </c>
      <c r="G285" s="3" t="s">
        <v>636</v>
      </c>
      <c r="H285" s="3" t="s">
        <v>637</v>
      </c>
      <c r="I285" s="3" t="str">
        <f>'Quantity grades'!G108</f>
        <v>A2 / D2</v>
      </c>
      <c r="J285" s="3" t="s">
        <v>639</v>
      </c>
      <c r="K285" s="3" t="s">
        <v>22</v>
      </c>
      <c r="L285" s="10">
        <v>60</v>
      </c>
      <c r="M285" s="10">
        <v>80</v>
      </c>
      <c r="N285" s="10">
        <v>10</v>
      </c>
      <c r="O285" s="11">
        <v>0</v>
      </c>
      <c r="P285" s="10">
        <v>15</v>
      </c>
      <c r="Q285" s="10">
        <v>15</v>
      </c>
      <c r="R285" s="10">
        <v>20</v>
      </c>
      <c r="S285" s="10">
        <v>3</v>
      </c>
      <c r="T285" s="10">
        <v>5</v>
      </c>
      <c r="U285" s="9">
        <f t="shared" si="29"/>
        <v>90</v>
      </c>
      <c r="V285" s="9">
        <f t="shared" si="30"/>
        <v>110</v>
      </c>
      <c r="W285" s="9">
        <f t="shared" si="31"/>
        <v>30</v>
      </c>
      <c r="X285" s="9">
        <f t="shared" si="32"/>
        <v>100</v>
      </c>
      <c r="Y285" s="9">
        <f t="shared" si="33"/>
        <v>120</v>
      </c>
      <c r="Z285" s="9">
        <f t="shared" si="34"/>
        <v>40</v>
      </c>
      <c r="AA285" s="3" t="s">
        <v>662</v>
      </c>
      <c r="AB285" s="3" t="s">
        <v>650</v>
      </c>
    </row>
    <row r="286" spans="1:28" ht="76" customHeight="1">
      <c r="A286" s="6" t="s">
        <v>130</v>
      </c>
      <c r="B286" s="3" t="s">
        <v>199</v>
      </c>
      <c r="C286" s="3" t="s">
        <v>188</v>
      </c>
      <c r="D286" s="13" t="s">
        <v>189</v>
      </c>
      <c r="E286" s="8">
        <v>2</v>
      </c>
      <c r="F286" s="12" t="str">
        <f t="shared" si="28"/>
        <v>80 × 60 × 60</v>
      </c>
      <c r="G286" s="3" t="s">
        <v>636</v>
      </c>
      <c r="H286" s="3" t="s">
        <v>637</v>
      </c>
      <c r="I286" s="3" t="str">
        <f>'Quantity grades'!G108</f>
        <v>A2 / D2</v>
      </c>
      <c r="J286" s="3" t="s">
        <v>639</v>
      </c>
      <c r="K286" s="3" t="s">
        <v>22</v>
      </c>
      <c r="L286" s="10">
        <v>60</v>
      </c>
      <c r="M286" s="10">
        <v>40</v>
      </c>
      <c r="N286" s="10">
        <v>30</v>
      </c>
      <c r="O286" s="11">
        <v>0</v>
      </c>
      <c r="P286" s="10">
        <v>5</v>
      </c>
      <c r="Q286" s="10">
        <v>5</v>
      </c>
      <c r="R286" s="10">
        <v>20</v>
      </c>
      <c r="S286" s="10">
        <v>3</v>
      </c>
      <c r="T286" s="10">
        <v>5</v>
      </c>
      <c r="U286" s="9">
        <f t="shared" si="29"/>
        <v>70</v>
      </c>
      <c r="V286" s="9">
        <f t="shared" si="30"/>
        <v>50</v>
      </c>
      <c r="W286" s="9">
        <f t="shared" si="31"/>
        <v>50</v>
      </c>
      <c r="X286" s="9">
        <f t="shared" si="32"/>
        <v>80</v>
      </c>
      <c r="Y286" s="9">
        <f t="shared" si="33"/>
        <v>60</v>
      </c>
      <c r="Z286" s="9">
        <f t="shared" si="34"/>
        <v>60</v>
      </c>
      <c r="AA286" s="3" t="s">
        <v>663</v>
      </c>
      <c r="AB286" s="3" t="s">
        <v>652</v>
      </c>
    </row>
    <row r="287" spans="1:28" ht="76" customHeight="1">
      <c r="A287" s="6" t="s">
        <v>130</v>
      </c>
      <c r="B287" s="3" t="s">
        <v>199</v>
      </c>
      <c r="C287" s="3" t="s">
        <v>653</v>
      </c>
      <c r="D287" s="14" t="s">
        <v>196</v>
      </c>
      <c r="E287" s="8">
        <v>2</v>
      </c>
      <c r="F287" s="12" t="str">
        <f t="shared" si="28"/>
        <v>90 × 70 × 50</v>
      </c>
      <c r="G287" s="3" t="s">
        <v>636</v>
      </c>
      <c r="H287" s="3" t="s">
        <v>637</v>
      </c>
      <c r="I287" s="3" t="str">
        <f>'Quantity grades'!G108</f>
        <v>A2 / D2</v>
      </c>
      <c r="J287" s="3" t="s">
        <v>639</v>
      </c>
      <c r="K287" s="3" t="s">
        <v>22</v>
      </c>
      <c r="L287" s="10">
        <v>60</v>
      </c>
      <c r="M287" s="10">
        <v>40</v>
      </c>
      <c r="N287" s="10">
        <v>20</v>
      </c>
      <c r="O287" s="11">
        <v>0</v>
      </c>
      <c r="P287" s="10">
        <v>10</v>
      </c>
      <c r="Q287" s="10">
        <v>10</v>
      </c>
      <c r="R287" s="10">
        <v>20</v>
      </c>
      <c r="S287" s="10">
        <v>3</v>
      </c>
      <c r="T287" s="10">
        <v>5</v>
      </c>
      <c r="U287" s="9">
        <f t="shared" si="29"/>
        <v>80</v>
      </c>
      <c r="V287" s="9">
        <f t="shared" si="30"/>
        <v>60</v>
      </c>
      <c r="W287" s="9">
        <f t="shared" si="31"/>
        <v>40</v>
      </c>
      <c r="X287" s="9">
        <f t="shared" si="32"/>
        <v>90</v>
      </c>
      <c r="Y287" s="9">
        <f t="shared" si="33"/>
        <v>70</v>
      </c>
      <c r="Z287" s="9">
        <f t="shared" si="34"/>
        <v>50</v>
      </c>
      <c r="AA287" s="3" t="s">
        <v>664</v>
      </c>
      <c r="AB287" s="3" t="s">
        <v>655</v>
      </c>
    </row>
    <row r="288" spans="1:28" ht="76" customHeight="1">
      <c r="A288" s="6" t="s">
        <v>130</v>
      </c>
      <c r="B288" s="3" t="s">
        <v>199</v>
      </c>
      <c r="C288" s="3" t="s">
        <v>656</v>
      </c>
      <c r="D288" s="13" t="s">
        <v>364</v>
      </c>
      <c r="E288" s="8">
        <v>2</v>
      </c>
      <c r="F288" s="12" t="str">
        <f t="shared" si="28"/>
        <v>Ø8 × 62</v>
      </c>
      <c r="G288" s="3" t="s">
        <v>636</v>
      </c>
      <c r="H288" s="3" t="s">
        <v>637</v>
      </c>
      <c r="I288" s="3" t="str">
        <f>'Quantity grades'!G108</f>
        <v>A2 / D2</v>
      </c>
      <c r="J288" s="3" t="s">
        <v>639</v>
      </c>
      <c r="K288" s="3" t="s">
        <v>29</v>
      </c>
      <c r="L288" s="10">
        <v>6</v>
      </c>
      <c r="M288" s="15">
        <v>6</v>
      </c>
      <c r="N288" s="10">
        <v>60</v>
      </c>
      <c r="O288" s="11">
        <v>0</v>
      </c>
      <c r="P288" s="10">
        <v>0</v>
      </c>
      <c r="Q288" s="10">
        <v>0</v>
      </c>
      <c r="R288" s="10">
        <v>0</v>
      </c>
      <c r="S288" s="10">
        <v>1</v>
      </c>
      <c r="T288" s="10">
        <v>1</v>
      </c>
      <c r="U288" s="9">
        <f t="shared" si="29"/>
        <v>6</v>
      </c>
      <c r="V288" s="9" t="str">
        <f t="shared" si="30"/>
        <v/>
      </c>
      <c r="W288" s="9">
        <f t="shared" si="31"/>
        <v>60</v>
      </c>
      <c r="X288" s="9">
        <f t="shared" si="32"/>
        <v>8</v>
      </c>
      <c r="Y288" s="9" t="str">
        <f t="shared" si="33"/>
        <v/>
      </c>
      <c r="Z288" s="9">
        <f t="shared" si="34"/>
        <v>62</v>
      </c>
      <c r="AA288" s="3" t="s">
        <v>665</v>
      </c>
      <c r="AB288" s="3" t="s">
        <v>658</v>
      </c>
    </row>
    <row r="289" spans="1:28" ht="76" customHeight="1">
      <c r="A289" s="6" t="s">
        <v>130</v>
      </c>
      <c r="B289" s="3" t="s">
        <v>202</v>
      </c>
      <c r="C289" s="3" t="s">
        <v>635</v>
      </c>
      <c r="D289" s="16" t="s">
        <v>225</v>
      </c>
      <c r="E289" s="8">
        <v>1</v>
      </c>
      <c r="F289" s="12" t="str">
        <f t="shared" si="28"/>
        <v>370 × 200 × 50</v>
      </c>
      <c r="G289" s="3" t="s">
        <v>636</v>
      </c>
      <c r="H289" s="3" t="s">
        <v>637</v>
      </c>
      <c r="I289" s="3" t="s">
        <v>638</v>
      </c>
      <c r="J289" s="3" t="s">
        <v>639</v>
      </c>
      <c r="K289" s="3" t="s">
        <v>22</v>
      </c>
      <c r="L289" s="10">
        <v>280</v>
      </c>
      <c r="M289" s="10">
        <v>110</v>
      </c>
      <c r="N289" s="10">
        <v>25</v>
      </c>
      <c r="O289" s="11">
        <v>0</v>
      </c>
      <c r="P289" s="10">
        <v>40</v>
      </c>
      <c r="Q289" s="10">
        <v>40</v>
      </c>
      <c r="R289" s="10">
        <v>15</v>
      </c>
      <c r="S289" s="10">
        <v>3</v>
      </c>
      <c r="T289" s="10">
        <v>5</v>
      </c>
      <c r="U289" s="9">
        <f t="shared" si="29"/>
        <v>360</v>
      </c>
      <c r="V289" s="9">
        <f t="shared" si="30"/>
        <v>190</v>
      </c>
      <c r="W289" s="9">
        <f t="shared" si="31"/>
        <v>40</v>
      </c>
      <c r="X289" s="9">
        <f t="shared" si="32"/>
        <v>370</v>
      </c>
      <c r="Y289" s="9">
        <f t="shared" si="33"/>
        <v>200</v>
      </c>
      <c r="Z289" s="9">
        <f t="shared" si="34"/>
        <v>50</v>
      </c>
      <c r="AA289" s="3" t="s">
        <v>666</v>
      </c>
      <c r="AB289" s="3" t="s">
        <v>641</v>
      </c>
    </row>
    <row r="290" spans="1:28" ht="76" customHeight="1">
      <c r="A290" s="6" t="s">
        <v>130</v>
      </c>
      <c r="B290" s="3" t="s">
        <v>202</v>
      </c>
      <c r="C290" s="3" t="s">
        <v>642</v>
      </c>
      <c r="D290" s="16" t="s">
        <v>225</v>
      </c>
      <c r="E290" s="8">
        <v>1</v>
      </c>
      <c r="F290" s="12" t="str">
        <f t="shared" si="28"/>
        <v>370 × 200 × 60</v>
      </c>
      <c r="G290" s="3" t="s">
        <v>636</v>
      </c>
      <c r="H290" s="3" t="s">
        <v>637</v>
      </c>
      <c r="I290" s="3" t="s">
        <v>638</v>
      </c>
      <c r="J290" s="3" t="s">
        <v>639</v>
      </c>
      <c r="K290" s="3" t="s">
        <v>22</v>
      </c>
      <c r="L290" s="10">
        <v>280</v>
      </c>
      <c r="M290" s="10">
        <v>110</v>
      </c>
      <c r="N290" s="10">
        <v>25</v>
      </c>
      <c r="O290" s="11">
        <v>0</v>
      </c>
      <c r="P290" s="10">
        <v>40</v>
      </c>
      <c r="Q290" s="10">
        <v>40</v>
      </c>
      <c r="R290" s="10">
        <v>25</v>
      </c>
      <c r="S290" s="10">
        <v>3</v>
      </c>
      <c r="T290" s="10">
        <v>5</v>
      </c>
      <c r="U290" s="9">
        <f t="shared" si="29"/>
        <v>360</v>
      </c>
      <c r="V290" s="9">
        <f t="shared" si="30"/>
        <v>190</v>
      </c>
      <c r="W290" s="9">
        <f t="shared" si="31"/>
        <v>50</v>
      </c>
      <c r="X290" s="9">
        <f t="shared" si="32"/>
        <v>370</v>
      </c>
      <c r="Y290" s="9">
        <f t="shared" si="33"/>
        <v>200</v>
      </c>
      <c r="Z290" s="9">
        <f t="shared" si="34"/>
        <v>60</v>
      </c>
      <c r="AA290" s="3" t="s">
        <v>667</v>
      </c>
      <c r="AB290" s="3" t="s">
        <v>644</v>
      </c>
    </row>
    <row r="291" spans="1:28" ht="76" customHeight="1">
      <c r="A291" s="6" t="s">
        <v>130</v>
      </c>
      <c r="B291" s="3" t="s">
        <v>202</v>
      </c>
      <c r="C291" s="3" t="s">
        <v>645</v>
      </c>
      <c r="D291" s="13" t="s">
        <v>189</v>
      </c>
      <c r="E291" s="8">
        <v>1</v>
      </c>
      <c r="F291" s="12" t="str">
        <f t="shared" si="28"/>
        <v>80 × 100 × 60</v>
      </c>
      <c r="G291" s="3" t="s">
        <v>636</v>
      </c>
      <c r="H291" s="3" t="s">
        <v>637</v>
      </c>
      <c r="I291" s="3" t="str">
        <f>'Quantity grades'!G109</f>
        <v>A2 / D2 / M2 by station</v>
      </c>
      <c r="J291" s="3" t="s">
        <v>639</v>
      </c>
      <c r="K291" s="3" t="s">
        <v>22</v>
      </c>
      <c r="L291" s="10">
        <v>60</v>
      </c>
      <c r="M291" s="10">
        <v>80</v>
      </c>
      <c r="N291" s="10">
        <v>30</v>
      </c>
      <c r="O291" s="11">
        <v>0</v>
      </c>
      <c r="P291" s="10">
        <v>5</v>
      </c>
      <c r="Q291" s="10">
        <v>5</v>
      </c>
      <c r="R291" s="10">
        <v>20</v>
      </c>
      <c r="S291" s="10">
        <v>3</v>
      </c>
      <c r="T291" s="10">
        <v>5</v>
      </c>
      <c r="U291" s="9">
        <f t="shared" si="29"/>
        <v>70</v>
      </c>
      <c r="V291" s="9">
        <f t="shared" si="30"/>
        <v>90</v>
      </c>
      <c r="W291" s="9">
        <f t="shared" si="31"/>
        <v>50</v>
      </c>
      <c r="X291" s="9">
        <f t="shared" si="32"/>
        <v>80</v>
      </c>
      <c r="Y291" s="9">
        <f t="shared" si="33"/>
        <v>100</v>
      </c>
      <c r="Z291" s="9">
        <f t="shared" si="34"/>
        <v>60</v>
      </c>
      <c r="AA291" s="3" t="s">
        <v>668</v>
      </c>
      <c r="AB291" s="3" t="s">
        <v>647</v>
      </c>
    </row>
    <row r="292" spans="1:28" ht="76" customHeight="1">
      <c r="A292" s="6" t="s">
        <v>130</v>
      </c>
      <c r="B292" s="3" t="s">
        <v>202</v>
      </c>
      <c r="C292" s="3" t="s">
        <v>648</v>
      </c>
      <c r="D292" s="14" t="s">
        <v>196</v>
      </c>
      <c r="E292" s="8">
        <v>1</v>
      </c>
      <c r="F292" s="12" t="str">
        <f t="shared" si="28"/>
        <v>100 × 120 × 40</v>
      </c>
      <c r="G292" s="3" t="s">
        <v>636</v>
      </c>
      <c r="H292" s="3" t="s">
        <v>637</v>
      </c>
      <c r="I292" s="3" t="str">
        <f>'Quantity grades'!G109</f>
        <v>A2 / D2 / M2 by station</v>
      </c>
      <c r="J292" s="3" t="s">
        <v>639</v>
      </c>
      <c r="K292" s="3" t="s">
        <v>22</v>
      </c>
      <c r="L292" s="10">
        <v>60</v>
      </c>
      <c r="M292" s="10">
        <v>80</v>
      </c>
      <c r="N292" s="10">
        <v>10</v>
      </c>
      <c r="O292" s="11">
        <v>0</v>
      </c>
      <c r="P292" s="10">
        <v>15</v>
      </c>
      <c r="Q292" s="10">
        <v>15</v>
      </c>
      <c r="R292" s="10">
        <v>20</v>
      </c>
      <c r="S292" s="10">
        <v>3</v>
      </c>
      <c r="T292" s="10">
        <v>5</v>
      </c>
      <c r="U292" s="9">
        <f t="shared" si="29"/>
        <v>90</v>
      </c>
      <c r="V292" s="9">
        <f t="shared" si="30"/>
        <v>110</v>
      </c>
      <c r="W292" s="9">
        <f t="shared" si="31"/>
        <v>30</v>
      </c>
      <c r="X292" s="9">
        <f t="shared" si="32"/>
        <v>100</v>
      </c>
      <c r="Y292" s="9">
        <f t="shared" si="33"/>
        <v>120</v>
      </c>
      <c r="Z292" s="9">
        <f t="shared" si="34"/>
        <v>40</v>
      </c>
      <c r="AA292" s="3" t="s">
        <v>669</v>
      </c>
      <c r="AB292" s="3" t="s">
        <v>650</v>
      </c>
    </row>
    <row r="293" spans="1:28" ht="76" customHeight="1">
      <c r="A293" s="6" t="s">
        <v>130</v>
      </c>
      <c r="B293" s="3" t="s">
        <v>202</v>
      </c>
      <c r="C293" s="3" t="s">
        <v>188</v>
      </c>
      <c r="D293" s="13" t="s">
        <v>189</v>
      </c>
      <c r="E293" s="8">
        <v>2</v>
      </c>
      <c r="F293" s="12" t="str">
        <f t="shared" si="28"/>
        <v>80 × 60 × 60</v>
      </c>
      <c r="G293" s="3" t="s">
        <v>636</v>
      </c>
      <c r="H293" s="3" t="s">
        <v>637</v>
      </c>
      <c r="I293" s="3" t="str">
        <f>'Quantity grades'!G109</f>
        <v>A2 / D2 / M2 by station</v>
      </c>
      <c r="J293" s="3" t="s">
        <v>639</v>
      </c>
      <c r="K293" s="3" t="s">
        <v>22</v>
      </c>
      <c r="L293" s="10">
        <v>60</v>
      </c>
      <c r="M293" s="10">
        <v>40</v>
      </c>
      <c r="N293" s="10">
        <v>30</v>
      </c>
      <c r="O293" s="11">
        <v>0</v>
      </c>
      <c r="P293" s="10">
        <v>5</v>
      </c>
      <c r="Q293" s="10">
        <v>5</v>
      </c>
      <c r="R293" s="10">
        <v>20</v>
      </c>
      <c r="S293" s="10">
        <v>3</v>
      </c>
      <c r="T293" s="10">
        <v>5</v>
      </c>
      <c r="U293" s="9">
        <f t="shared" si="29"/>
        <v>70</v>
      </c>
      <c r="V293" s="9">
        <f t="shared" si="30"/>
        <v>50</v>
      </c>
      <c r="W293" s="9">
        <f t="shared" si="31"/>
        <v>50</v>
      </c>
      <c r="X293" s="9">
        <f t="shared" si="32"/>
        <v>80</v>
      </c>
      <c r="Y293" s="9">
        <f t="shared" si="33"/>
        <v>60</v>
      </c>
      <c r="Z293" s="9">
        <f t="shared" si="34"/>
        <v>60</v>
      </c>
      <c r="AA293" s="3" t="s">
        <v>670</v>
      </c>
      <c r="AB293" s="3" t="s">
        <v>652</v>
      </c>
    </row>
    <row r="294" spans="1:28" ht="76" customHeight="1">
      <c r="A294" s="6" t="s">
        <v>130</v>
      </c>
      <c r="B294" s="3" t="s">
        <v>202</v>
      </c>
      <c r="C294" s="3" t="s">
        <v>653</v>
      </c>
      <c r="D294" s="14" t="s">
        <v>196</v>
      </c>
      <c r="E294" s="8">
        <v>2</v>
      </c>
      <c r="F294" s="12" t="str">
        <f t="shared" si="28"/>
        <v>90 × 70 × 50</v>
      </c>
      <c r="G294" s="3" t="s">
        <v>636</v>
      </c>
      <c r="H294" s="3" t="s">
        <v>637</v>
      </c>
      <c r="I294" s="3" t="str">
        <f>'Quantity grades'!G109</f>
        <v>A2 / D2 / M2 by station</v>
      </c>
      <c r="J294" s="3" t="s">
        <v>639</v>
      </c>
      <c r="K294" s="3" t="s">
        <v>22</v>
      </c>
      <c r="L294" s="10">
        <v>60</v>
      </c>
      <c r="M294" s="10">
        <v>40</v>
      </c>
      <c r="N294" s="10">
        <v>20</v>
      </c>
      <c r="O294" s="11">
        <v>0</v>
      </c>
      <c r="P294" s="10">
        <v>10</v>
      </c>
      <c r="Q294" s="10">
        <v>10</v>
      </c>
      <c r="R294" s="10">
        <v>20</v>
      </c>
      <c r="S294" s="10">
        <v>3</v>
      </c>
      <c r="T294" s="10">
        <v>5</v>
      </c>
      <c r="U294" s="9">
        <f t="shared" si="29"/>
        <v>80</v>
      </c>
      <c r="V294" s="9">
        <f t="shared" si="30"/>
        <v>60</v>
      </c>
      <c r="W294" s="9">
        <f t="shared" si="31"/>
        <v>40</v>
      </c>
      <c r="X294" s="9">
        <f t="shared" si="32"/>
        <v>90</v>
      </c>
      <c r="Y294" s="9">
        <f t="shared" si="33"/>
        <v>70</v>
      </c>
      <c r="Z294" s="9">
        <f t="shared" si="34"/>
        <v>50</v>
      </c>
      <c r="AA294" s="3" t="s">
        <v>671</v>
      </c>
      <c r="AB294" s="3" t="s">
        <v>655</v>
      </c>
    </row>
    <row r="295" spans="1:28" ht="76" customHeight="1">
      <c r="A295" s="6" t="s">
        <v>130</v>
      </c>
      <c r="B295" s="3" t="s">
        <v>202</v>
      </c>
      <c r="C295" s="3" t="s">
        <v>656</v>
      </c>
      <c r="D295" s="13" t="s">
        <v>364</v>
      </c>
      <c r="E295" s="8">
        <v>2</v>
      </c>
      <c r="F295" s="12" t="str">
        <f t="shared" si="28"/>
        <v>Ø8 × 62</v>
      </c>
      <c r="G295" s="3" t="s">
        <v>636</v>
      </c>
      <c r="H295" s="3" t="s">
        <v>637</v>
      </c>
      <c r="I295" s="3" t="str">
        <f>'Quantity grades'!G109</f>
        <v>A2 / D2 / M2 by station</v>
      </c>
      <c r="J295" s="3" t="s">
        <v>639</v>
      </c>
      <c r="K295" s="3" t="s">
        <v>29</v>
      </c>
      <c r="L295" s="10">
        <v>6</v>
      </c>
      <c r="M295" s="15">
        <v>6</v>
      </c>
      <c r="N295" s="10">
        <v>60</v>
      </c>
      <c r="O295" s="11">
        <v>0</v>
      </c>
      <c r="P295" s="10">
        <v>0</v>
      </c>
      <c r="Q295" s="10">
        <v>0</v>
      </c>
      <c r="R295" s="10">
        <v>0</v>
      </c>
      <c r="S295" s="10">
        <v>1</v>
      </c>
      <c r="T295" s="10">
        <v>1</v>
      </c>
      <c r="U295" s="9">
        <f t="shared" si="29"/>
        <v>6</v>
      </c>
      <c r="V295" s="9" t="str">
        <f t="shared" si="30"/>
        <v/>
      </c>
      <c r="W295" s="9">
        <f t="shared" si="31"/>
        <v>60</v>
      </c>
      <c r="X295" s="9">
        <f t="shared" si="32"/>
        <v>8</v>
      </c>
      <c r="Y295" s="9" t="str">
        <f t="shared" si="33"/>
        <v/>
      </c>
      <c r="Z295" s="9">
        <f t="shared" si="34"/>
        <v>62</v>
      </c>
      <c r="AA295" s="3" t="s">
        <v>672</v>
      </c>
      <c r="AB295" s="3" t="s">
        <v>658</v>
      </c>
    </row>
    <row r="296" spans="1:28" ht="76" customHeight="1">
      <c r="A296" s="6" t="s">
        <v>130</v>
      </c>
      <c r="B296" s="3" t="s">
        <v>205</v>
      </c>
      <c r="C296" s="3" t="s">
        <v>635</v>
      </c>
      <c r="D296" s="16" t="s">
        <v>225</v>
      </c>
      <c r="E296" s="8">
        <v>1</v>
      </c>
      <c r="F296" s="12" t="str">
        <f t="shared" si="28"/>
        <v>370 × 200 × 50</v>
      </c>
      <c r="G296" s="3" t="s">
        <v>636</v>
      </c>
      <c r="H296" s="3" t="s">
        <v>637</v>
      </c>
      <c r="I296" s="3" t="s">
        <v>638</v>
      </c>
      <c r="J296" s="3" t="s">
        <v>639</v>
      </c>
      <c r="K296" s="3" t="s">
        <v>22</v>
      </c>
      <c r="L296" s="10">
        <v>280</v>
      </c>
      <c r="M296" s="10">
        <v>110</v>
      </c>
      <c r="N296" s="10">
        <v>25</v>
      </c>
      <c r="O296" s="11">
        <v>0</v>
      </c>
      <c r="P296" s="10">
        <v>40</v>
      </c>
      <c r="Q296" s="10">
        <v>40</v>
      </c>
      <c r="R296" s="10">
        <v>15</v>
      </c>
      <c r="S296" s="10">
        <v>3</v>
      </c>
      <c r="T296" s="10">
        <v>5</v>
      </c>
      <c r="U296" s="9">
        <f t="shared" si="29"/>
        <v>360</v>
      </c>
      <c r="V296" s="9">
        <f t="shared" si="30"/>
        <v>190</v>
      </c>
      <c r="W296" s="9">
        <f t="shared" si="31"/>
        <v>40</v>
      </c>
      <c r="X296" s="9">
        <f t="shared" si="32"/>
        <v>370</v>
      </c>
      <c r="Y296" s="9">
        <f t="shared" si="33"/>
        <v>200</v>
      </c>
      <c r="Z296" s="9">
        <f t="shared" si="34"/>
        <v>50</v>
      </c>
      <c r="AA296" s="3" t="s">
        <v>673</v>
      </c>
      <c r="AB296" s="3" t="s">
        <v>641</v>
      </c>
    </row>
    <row r="297" spans="1:28" ht="76" customHeight="1">
      <c r="A297" s="6" t="s">
        <v>130</v>
      </c>
      <c r="B297" s="3" t="s">
        <v>205</v>
      </c>
      <c r="C297" s="3" t="s">
        <v>642</v>
      </c>
      <c r="D297" s="16" t="s">
        <v>225</v>
      </c>
      <c r="E297" s="8">
        <v>1</v>
      </c>
      <c r="F297" s="12" t="str">
        <f t="shared" si="28"/>
        <v>370 × 200 × 60</v>
      </c>
      <c r="G297" s="3" t="s">
        <v>636</v>
      </c>
      <c r="H297" s="3" t="s">
        <v>637</v>
      </c>
      <c r="I297" s="3" t="s">
        <v>638</v>
      </c>
      <c r="J297" s="3" t="s">
        <v>639</v>
      </c>
      <c r="K297" s="3" t="s">
        <v>22</v>
      </c>
      <c r="L297" s="10">
        <v>280</v>
      </c>
      <c r="M297" s="10">
        <v>110</v>
      </c>
      <c r="N297" s="10">
        <v>25</v>
      </c>
      <c r="O297" s="11">
        <v>0</v>
      </c>
      <c r="P297" s="10">
        <v>40</v>
      </c>
      <c r="Q297" s="10">
        <v>40</v>
      </c>
      <c r="R297" s="10">
        <v>25</v>
      </c>
      <c r="S297" s="10">
        <v>3</v>
      </c>
      <c r="T297" s="10">
        <v>5</v>
      </c>
      <c r="U297" s="9">
        <f t="shared" si="29"/>
        <v>360</v>
      </c>
      <c r="V297" s="9">
        <f t="shared" si="30"/>
        <v>190</v>
      </c>
      <c r="W297" s="9">
        <f t="shared" si="31"/>
        <v>50</v>
      </c>
      <c r="X297" s="9">
        <f t="shared" si="32"/>
        <v>370</v>
      </c>
      <c r="Y297" s="9">
        <f t="shared" si="33"/>
        <v>200</v>
      </c>
      <c r="Z297" s="9">
        <f t="shared" si="34"/>
        <v>60</v>
      </c>
      <c r="AA297" s="3" t="s">
        <v>674</v>
      </c>
      <c r="AB297" s="3" t="s">
        <v>644</v>
      </c>
    </row>
    <row r="298" spans="1:28" ht="76" customHeight="1">
      <c r="A298" s="6" t="s">
        <v>130</v>
      </c>
      <c r="B298" s="3" t="s">
        <v>205</v>
      </c>
      <c r="C298" s="3" t="s">
        <v>645</v>
      </c>
      <c r="D298" s="13" t="s">
        <v>189</v>
      </c>
      <c r="E298" s="8">
        <v>1</v>
      </c>
      <c r="F298" s="12" t="str">
        <f t="shared" si="28"/>
        <v>80 × 100 × 60</v>
      </c>
      <c r="G298" s="3" t="s">
        <v>636</v>
      </c>
      <c r="H298" s="3" t="s">
        <v>637</v>
      </c>
      <c r="I298" s="3" t="str">
        <f>'Quantity grades'!G110</f>
        <v>D2 / M2 / tough cold-work steel</v>
      </c>
      <c r="J298" s="3" t="s">
        <v>639</v>
      </c>
      <c r="K298" s="3" t="s">
        <v>22</v>
      </c>
      <c r="L298" s="10">
        <v>60</v>
      </c>
      <c r="M298" s="10">
        <v>80</v>
      </c>
      <c r="N298" s="10">
        <v>30</v>
      </c>
      <c r="O298" s="11">
        <v>0</v>
      </c>
      <c r="P298" s="10">
        <v>5</v>
      </c>
      <c r="Q298" s="10">
        <v>5</v>
      </c>
      <c r="R298" s="10">
        <v>20</v>
      </c>
      <c r="S298" s="10">
        <v>3</v>
      </c>
      <c r="T298" s="10">
        <v>5</v>
      </c>
      <c r="U298" s="9">
        <f t="shared" si="29"/>
        <v>70</v>
      </c>
      <c r="V298" s="9">
        <f t="shared" si="30"/>
        <v>90</v>
      </c>
      <c r="W298" s="9">
        <f t="shared" si="31"/>
        <v>50</v>
      </c>
      <c r="X298" s="9">
        <f t="shared" si="32"/>
        <v>80</v>
      </c>
      <c r="Y298" s="9">
        <f t="shared" si="33"/>
        <v>100</v>
      </c>
      <c r="Z298" s="9">
        <f t="shared" si="34"/>
        <v>60</v>
      </c>
      <c r="AA298" s="3" t="s">
        <v>675</v>
      </c>
      <c r="AB298" s="3" t="s">
        <v>647</v>
      </c>
    </row>
    <row r="299" spans="1:28" ht="76" customHeight="1">
      <c r="A299" s="6" t="s">
        <v>130</v>
      </c>
      <c r="B299" s="3" t="s">
        <v>205</v>
      </c>
      <c r="C299" s="3" t="s">
        <v>648</v>
      </c>
      <c r="D299" s="14" t="s">
        <v>196</v>
      </c>
      <c r="E299" s="8">
        <v>1</v>
      </c>
      <c r="F299" s="12" t="str">
        <f t="shared" si="28"/>
        <v>100 × 120 × 40</v>
      </c>
      <c r="G299" s="3" t="s">
        <v>636</v>
      </c>
      <c r="H299" s="3" t="s">
        <v>637</v>
      </c>
      <c r="I299" s="3" t="str">
        <f>'Quantity grades'!G110</f>
        <v>D2 / M2 / tough cold-work steel</v>
      </c>
      <c r="J299" s="3" t="s">
        <v>639</v>
      </c>
      <c r="K299" s="3" t="s">
        <v>22</v>
      </c>
      <c r="L299" s="10">
        <v>60</v>
      </c>
      <c r="M299" s="10">
        <v>80</v>
      </c>
      <c r="N299" s="10">
        <v>10</v>
      </c>
      <c r="O299" s="11">
        <v>0</v>
      </c>
      <c r="P299" s="10">
        <v>15</v>
      </c>
      <c r="Q299" s="10">
        <v>15</v>
      </c>
      <c r="R299" s="10">
        <v>20</v>
      </c>
      <c r="S299" s="10">
        <v>3</v>
      </c>
      <c r="T299" s="10">
        <v>5</v>
      </c>
      <c r="U299" s="9">
        <f t="shared" si="29"/>
        <v>90</v>
      </c>
      <c r="V299" s="9">
        <f t="shared" si="30"/>
        <v>110</v>
      </c>
      <c r="W299" s="9">
        <f t="shared" si="31"/>
        <v>30</v>
      </c>
      <c r="X299" s="9">
        <f t="shared" si="32"/>
        <v>100</v>
      </c>
      <c r="Y299" s="9">
        <f t="shared" si="33"/>
        <v>120</v>
      </c>
      <c r="Z299" s="9">
        <f t="shared" si="34"/>
        <v>40</v>
      </c>
      <c r="AA299" s="3" t="s">
        <v>676</v>
      </c>
      <c r="AB299" s="3" t="s">
        <v>650</v>
      </c>
    </row>
    <row r="300" spans="1:28" ht="76" customHeight="1">
      <c r="A300" s="6" t="s">
        <v>130</v>
      </c>
      <c r="B300" s="3" t="s">
        <v>205</v>
      </c>
      <c r="C300" s="3" t="s">
        <v>188</v>
      </c>
      <c r="D300" s="13" t="s">
        <v>189</v>
      </c>
      <c r="E300" s="8">
        <v>2</v>
      </c>
      <c r="F300" s="12" t="str">
        <f t="shared" si="28"/>
        <v>80 × 60 × 60</v>
      </c>
      <c r="G300" s="3" t="s">
        <v>636</v>
      </c>
      <c r="H300" s="3" t="s">
        <v>637</v>
      </c>
      <c r="I300" s="3" t="str">
        <f>'Quantity grades'!G110</f>
        <v>D2 / M2 / tough cold-work steel</v>
      </c>
      <c r="J300" s="3" t="s">
        <v>639</v>
      </c>
      <c r="K300" s="3" t="s">
        <v>22</v>
      </c>
      <c r="L300" s="10">
        <v>60</v>
      </c>
      <c r="M300" s="10">
        <v>40</v>
      </c>
      <c r="N300" s="10">
        <v>30</v>
      </c>
      <c r="O300" s="11">
        <v>0</v>
      </c>
      <c r="P300" s="10">
        <v>5</v>
      </c>
      <c r="Q300" s="10">
        <v>5</v>
      </c>
      <c r="R300" s="10">
        <v>20</v>
      </c>
      <c r="S300" s="10">
        <v>3</v>
      </c>
      <c r="T300" s="10">
        <v>5</v>
      </c>
      <c r="U300" s="9">
        <f t="shared" si="29"/>
        <v>70</v>
      </c>
      <c r="V300" s="9">
        <f t="shared" si="30"/>
        <v>50</v>
      </c>
      <c r="W300" s="9">
        <f t="shared" si="31"/>
        <v>50</v>
      </c>
      <c r="X300" s="9">
        <f t="shared" si="32"/>
        <v>80</v>
      </c>
      <c r="Y300" s="9">
        <f t="shared" si="33"/>
        <v>60</v>
      </c>
      <c r="Z300" s="9">
        <f t="shared" si="34"/>
        <v>60</v>
      </c>
      <c r="AA300" s="3" t="s">
        <v>677</v>
      </c>
      <c r="AB300" s="3" t="s">
        <v>652</v>
      </c>
    </row>
    <row r="301" spans="1:28" ht="76" customHeight="1">
      <c r="A301" s="6" t="s">
        <v>130</v>
      </c>
      <c r="B301" s="3" t="s">
        <v>205</v>
      </c>
      <c r="C301" s="3" t="s">
        <v>653</v>
      </c>
      <c r="D301" s="14" t="s">
        <v>196</v>
      </c>
      <c r="E301" s="8">
        <v>2</v>
      </c>
      <c r="F301" s="12" t="str">
        <f t="shared" si="28"/>
        <v>90 × 70 × 50</v>
      </c>
      <c r="G301" s="3" t="s">
        <v>636</v>
      </c>
      <c r="H301" s="3" t="s">
        <v>637</v>
      </c>
      <c r="I301" s="3" t="str">
        <f>'Quantity grades'!G110</f>
        <v>D2 / M2 / tough cold-work steel</v>
      </c>
      <c r="J301" s="3" t="s">
        <v>639</v>
      </c>
      <c r="K301" s="3" t="s">
        <v>22</v>
      </c>
      <c r="L301" s="10">
        <v>60</v>
      </c>
      <c r="M301" s="10">
        <v>40</v>
      </c>
      <c r="N301" s="10">
        <v>20</v>
      </c>
      <c r="O301" s="11">
        <v>0</v>
      </c>
      <c r="P301" s="10">
        <v>10</v>
      </c>
      <c r="Q301" s="10">
        <v>10</v>
      </c>
      <c r="R301" s="10">
        <v>20</v>
      </c>
      <c r="S301" s="10">
        <v>3</v>
      </c>
      <c r="T301" s="10">
        <v>5</v>
      </c>
      <c r="U301" s="9">
        <f t="shared" si="29"/>
        <v>80</v>
      </c>
      <c r="V301" s="9">
        <f t="shared" si="30"/>
        <v>60</v>
      </c>
      <c r="W301" s="9">
        <f t="shared" si="31"/>
        <v>40</v>
      </c>
      <c r="X301" s="9">
        <f t="shared" si="32"/>
        <v>90</v>
      </c>
      <c r="Y301" s="9">
        <f t="shared" si="33"/>
        <v>70</v>
      </c>
      <c r="Z301" s="9">
        <f t="shared" si="34"/>
        <v>50</v>
      </c>
      <c r="AA301" s="3" t="s">
        <v>678</v>
      </c>
      <c r="AB301" s="3" t="s">
        <v>655</v>
      </c>
    </row>
    <row r="302" spans="1:28" ht="76" customHeight="1">
      <c r="A302" s="6" t="s">
        <v>130</v>
      </c>
      <c r="B302" s="3" t="s">
        <v>205</v>
      </c>
      <c r="C302" s="3" t="s">
        <v>656</v>
      </c>
      <c r="D302" s="13" t="s">
        <v>364</v>
      </c>
      <c r="E302" s="8">
        <v>2</v>
      </c>
      <c r="F302" s="12" t="str">
        <f t="shared" si="28"/>
        <v>Ø8 × 62</v>
      </c>
      <c r="G302" s="3" t="s">
        <v>636</v>
      </c>
      <c r="H302" s="3" t="s">
        <v>637</v>
      </c>
      <c r="I302" s="3" t="str">
        <f>'Quantity grades'!G110</f>
        <v>D2 / M2 / tough cold-work steel</v>
      </c>
      <c r="J302" s="3" t="s">
        <v>639</v>
      </c>
      <c r="K302" s="3" t="s">
        <v>29</v>
      </c>
      <c r="L302" s="10">
        <v>6</v>
      </c>
      <c r="M302" s="15">
        <v>6</v>
      </c>
      <c r="N302" s="10">
        <v>60</v>
      </c>
      <c r="O302" s="11">
        <v>0</v>
      </c>
      <c r="P302" s="10">
        <v>0</v>
      </c>
      <c r="Q302" s="10">
        <v>0</v>
      </c>
      <c r="R302" s="10">
        <v>0</v>
      </c>
      <c r="S302" s="10">
        <v>1</v>
      </c>
      <c r="T302" s="10">
        <v>1</v>
      </c>
      <c r="U302" s="9">
        <f t="shared" si="29"/>
        <v>6</v>
      </c>
      <c r="V302" s="9" t="str">
        <f t="shared" si="30"/>
        <v/>
      </c>
      <c r="W302" s="9">
        <f t="shared" si="31"/>
        <v>60</v>
      </c>
      <c r="X302" s="9">
        <f t="shared" si="32"/>
        <v>8</v>
      </c>
      <c r="Y302" s="9" t="str">
        <f t="shared" si="33"/>
        <v/>
      </c>
      <c r="Z302" s="9">
        <f t="shared" si="34"/>
        <v>62</v>
      </c>
      <c r="AA302" s="3" t="s">
        <v>679</v>
      </c>
      <c r="AB302" s="3" t="s">
        <v>658</v>
      </c>
    </row>
    <row r="303" spans="1:28" ht="76" customHeight="1">
      <c r="A303" s="6" t="s">
        <v>130</v>
      </c>
      <c r="B303" s="3" t="s">
        <v>208</v>
      </c>
      <c r="C303" s="3" t="s">
        <v>635</v>
      </c>
      <c r="D303" s="16" t="s">
        <v>225</v>
      </c>
      <c r="E303" s="8">
        <v>1</v>
      </c>
      <c r="F303" s="12" t="str">
        <f t="shared" si="28"/>
        <v>370 × 200 × 50</v>
      </c>
      <c r="G303" s="3" t="s">
        <v>636</v>
      </c>
      <c r="H303" s="3" t="s">
        <v>637</v>
      </c>
      <c r="I303" s="3" t="s">
        <v>638</v>
      </c>
      <c r="J303" s="3" t="s">
        <v>639</v>
      </c>
      <c r="K303" s="3" t="s">
        <v>22</v>
      </c>
      <c r="L303" s="10">
        <v>280</v>
      </c>
      <c r="M303" s="10">
        <v>110</v>
      </c>
      <c r="N303" s="10">
        <v>25</v>
      </c>
      <c r="O303" s="11">
        <v>0</v>
      </c>
      <c r="P303" s="10">
        <v>40</v>
      </c>
      <c r="Q303" s="10">
        <v>40</v>
      </c>
      <c r="R303" s="10">
        <v>15</v>
      </c>
      <c r="S303" s="10">
        <v>3</v>
      </c>
      <c r="T303" s="10">
        <v>5</v>
      </c>
      <c r="U303" s="9">
        <f t="shared" si="29"/>
        <v>360</v>
      </c>
      <c r="V303" s="9">
        <f t="shared" si="30"/>
        <v>190</v>
      </c>
      <c r="W303" s="9">
        <f t="shared" si="31"/>
        <v>40</v>
      </c>
      <c r="X303" s="9">
        <f t="shared" si="32"/>
        <v>370</v>
      </c>
      <c r="Y303" s="9">
        <f t="shared" si="33"/>
        <v>200</v>
      </c>
      <c r="Z303" s="9">
        <f t="shared" si="34"/>
        <v>50</v>
      </c>
      <c r="AA303" s="3" t="s">
        <v>680</v>
      </c>
      <c r="AB303" s="3" t="s">
        <v>641</v>
      </c>
    </row>
    <row r="304" spans="1:28" ht="76" customHeight="1">
      <c r="A304" s="6" t="s">
        <v>130</v>
      </c>
      <c r="B304" s="3" t="s">
        <v>208</v>
      </c>
      <c r="C304" s="3" t="s">
        <v>642</v>
      </c>
      <c r="D304" s="16" t="s">
        <v>225</v>
      </c>
      <c r="E304" s="8">
        <v>1</v>
      </c>
      <c r="F304" s="12" t="str">
        <f t="shared" si="28"/>
        <v>370 × 200 × 60</v>
      </c>
      <c r="G304" s="3" t="s">
        <v>636</v>
      </c>
      <c r="H304" s="3" t="s">
        <v>637</v>
      </c>
      <c r="I304" s="3" t="s">
        <v>638</v>
      </c>
      <c r="J304" s="3" t="s">
        <v>639</v>
      </c>
      <c r="K304" s="3" t="s">
        <v>22</v>
      </c>
      <c r="L304" s="10">
        <v>280</v>
      </c>
      <c r="M304" s="10">
        <v>110</v>
      </c>
      <c r="N304" s="10">
        <v>25</v>
      </c>
      <c r="O304" s="11">
        <v>0</v>
      </c>
      <c r="P304" s="10">
        <v>40</v>
      </c>
      <c r="Q304" s="10">
        <v>40</v>
      </c>
      <c r="R304" s="10">
        <v>25</v>
      </c>
      <c r="S304" s="10">
        <v>3</v>
      </c>
      <c r="T304" s="10">
        <v>5</v>
      </c>
      <c r="U304" s="9">
        <f t="shared" si="29"/>
        <v>360</v>
      </c>
      <c r="V304" s="9">
        <f t="shared" si="30"/>
        <v>190</v>
      </c>
      <c r="W304" s="9">
        <f t="shared" si="31"/>
        <v>50</v>
      </c>
      <c r="X304" s="9">
        <f t="shared" si="32"/>
        <v>370</v>
      </c>
      <c r="Y304" s="9">
        <f t="shared" si="33"/>
        <v>200</v>
      </c>
      <c r="Z304" s="9">
        <f t="shared" si="34"/>
        <v>60</v>
      </c>
      <c r="AA304" s="3" t="s">
        <v>681</v>
      </c>
      <c r="AB304" s="3" t="s">
        <v>644</v>
      </c>
    </row>
    <row r="305" spans="1:28" ht="76" customHeight="1">
      <c r="A305" s="6" t="s">
        <v>130</v>
      </c>
      <c r="B305" s="3" t="s">
        <v>208</v>
      </c>
      <c r="C305" s="3" t="s">
        <v>645</v>
      </c>
      <c r="D305" s="13" t="s">
        <v>189</v>
      </c>
      <c r="E305" s="8">
        <v>1</v>
      </c>
      <c r="F305" s="12" t="str">
        <f t="shared" si="28"/>
        <v>80 × 100 × 60</v>
      </c>
      <c r="G305" s="3" t="s">
        <v>636</v>
      </c>
      <c r="H305" s="3" t="s">
        <v>637</v>
      </c>
      <c r="I305" s="3" t="str">
        <f>'Quantity grades'!G111</f>
        <v>D2 / PM tool steel</v>
      </c>
      <c r="J305" s="3" t="s">
        <v>639</v>
      </c>
      <c r="K305" s="3" t="s">
        <v>22</v>
      </c>
      <c r="L305" s="10">
        <v>60</v>
      </c>
      <c r="M305" s="10">
        <v>80</v>
      </c>
      <c r="N305" s="10">
        <v>30</v>
      </c>
      <c r="O305" s="11">
        <v>0</v>
      </c>
      <c r="P305" s="10">
        <v>5</v>
      </c>
      <c r="Q305" s="10">
        <v>5</v>
      </c>
      <c r="R305" s="10">
        <v>20</v>
      </c>
      <c r="S305" s="10">
        <v>3</v>
      </c>
      <c r="T305" s="10">
        <v>5</v>
      </c>
      <c r="U305" s="9">
        <f t="shared" si="29"/>
        <v>70</v>
      </c>
      <c r="V305" s="9">
        <f t="shared" si="30"/>
        <v>90</v>
      </c>
      <c r="W305" s="9">
        <f t="shared" si="31"/>
        <v>50</v>
      </c>
      <c r="X305" s="9">
        <f t="shared" si="32"/>
        <v>80</v>
      </c>
      <c r="Y305" s="9">
        <f t="shared" si="33"/>
        <v>100</v>
      </c>
      <c r="Z305" s="9">
        <f t="shared" si="34"/>
        <v>60</v>
      </c>
      <c r="AA305" s="3" t="s">
        <v>682</v>
      </c>
      <c r="AB305" s="3" t="s">
        <v>647</v>
      </c>
    </row>
    <row r="306" spans="1:28" ht="76" customHeight="1">
      <c r="A306" s="6" t="s">
        <v>130</v>
      </c>
      <c r="B306" s="3" t="s">
        <v>208</v>
      </c>
      <c r="C306" s="3" t="s">
        <v>648</v>
      </c>
      <c r="D306" s="14" t="s">
        <v>196</v>
      </c>
      <c r="E306" s="8">
        <v>1</v>
      </c>
      <c r="F306" s="12" t="str">
        <f t="shared" si="28"/>
        <v>100 × 120 × 40</v>
      </c>
      <c r="G306" s="3" t="s">
        <v>636</v>
      </c>
      <c r="H306" s="3" t="s">
        <v>637</v>
      </c>
      <c r="I306" s="3" t="str">
        <f>'Quantity grades'!G111</f>
        <v>D2 / PM tool steel</v>
      </c>
      <c r="J306" s="3" t="s">
        <v>639</v>
      </c>
      <c r="K306" s="3" t="s">
        <v>22</v>
      </c>
      <c r="L306" s="10">
        <v>60</v>
      </c>
      <c r="M306" s="10">
        <v>80</v>
      </c>
      <c r="N306" s="10">
        <v>10</v>
      </c>
      <c r="O306" s="11">
        <v>0</v>
      </c>
      <c r="P306" s="10">
        <v>15</v>
      </c>
      <c r="Q306" s="10">
        <v>15</v>
      </c>
      <c r="R306" s="10">
        <v>20</v>
      </c>
      <c r="S306" s="10">
        <v>3</v>
      </c>
      <c r="T306" s="10">
        <v>5</v>
      </c>
      <c r="U306" s="9">
        <f t="shared" si="29"/>
        <v>90</v>
      </c>
      <c r="V306" s="9">
        <f t="shared" si="30"/>
        <v>110</v>
      </c>
      <c r="W306" s="9">
        <f t="shared" si="31"/>
        <v>30</v>
      </c>
      <c r="X306" s="9">
        <f t="shared" si="32"/>
        <v>100</v>
      </c>
      <c r="Y306" s="9">
        <f t="shared" si="33"/>
        <v>120</v>
      </c>
      <c r="Z306" s="9">
        <f t="shared" si="34"/>
        <v>40</v>
      </c>
      <c r="AA306" s="3" t="s">
        <v>683</v>
      </c>
      <c r="AB306" s="3" t="s">
        <v>650</v>
      </c>
    </row>
    <row r="307" spans="1:28" ht="76" customHeight="1">
      <c r="A307" s="6" t="s">
        <v>130</v>
      </c>
      <c r="B307" s="3" t="s">
        <v>208</v>
      </c>
      <c r="C307" s="3" t="s">
        <v>188</v>
      </c>
      <c r="D307" s="13" t="s">
        <v>189</v>
      </c>
      <c r="E307" s="8">
        <v>2</v>
      </c>
      <c r="F307" s="12" t="str">
        <f t="shared" si="28"/>
        <v>80 × 60 × 60</v>
      </c>
      <c r="G307" s="3" t="s">
        <v>636</v>
      </c>
      <c r="H307" s="3" t="s">
        <v>637</v>
      </c>
      <c r="I307" s="3" t="str">
        <f>'Quantity grades'!G111</f>
        <v>D2 / PM tool steel</v>
      </c>
      <c r="J307" s="3" t="s">
        <v>639</v>
      </c>
      <c r="K307" s="3" t="s">
        <v>22</v>
      </c>
      <c r="L307" s="10">
        <v>60</v>
      </c>
      <c r="M307" s="10">
        <v>40</v>
      </c>
      <c r="N307" s="10">
        <v>30</v>
      </c>
      <c r="O307" s="11">
        <v>0</v>
      </c>
      <c r="P307" s="10">
        <v>5</v>
      </c>
      <c r="Q307" s="10">
        <v>5</v>
      </c>
      <c r="R307" s="10">
        <v>20</v>
      </c>
      <c r="S307" s="10">
        <v>3</v>
      </c>
      <c r="T307" s="10">
        <v>5</v>
      </c>
      <c r="U307" s="9">
        <f t="shared" si="29"/>
        <v>70</v>
      </c>
      <c r="V307" s="9">
        <f t="shared" si="30"/>
        <v>50</v>
      </c>
      <c r="W307" s="9">
        <f t="shared" si="31"/>
        <v>50</v>
      </c>
      <c r="X307" s="9">
        <f t="shared" si="32"/>
        <v>80</v>
      </c>
      <c r="Y307" s="9">
        <f t="shared" si="33"/>
        <v>60</v>
      </c>
      <c r="Z307" s="9">
        <f t="shared" si="34"/>
        <v>60</v>
      </c>
      <c r="AA307" s="3" t="s">
        <v>684</v>
      </c>
      <c r="AB307" s="3" t="s">
        <v>652</v>
      </c>
    </row>
    <row r="308" spans="1:28" ht="76" customHeight="1">
      <c r="A308" s="6" t="s">
        <v>130</v>
      </c>
      <c r="B308" s="3" t="s">
        <v>208</v>
      </c>
      <c r="C308" s="3" t="s">
        <v>653</v>
      </c>
      <c r="D308" s="14" t="s">
        <v>196</v>
      </c>
      <c r="E308" s="8">
        <v>2</v>
      </c>
      <c r="F308" s="12" t="str">
        <f t="shared" si="28"/>
        <v>90 × 70 × 50</v>
      </c>
      <c r="G308" s="3" t="s">
        <v>636</v>
      </c>
      <c r="H308" s="3" t="s">
        <v>637</v>
      </c>
      <c r="I308" s="3" t="str">
        <f>'Quantity grades'!G111</f>
        <v>D2 / PM tool steel</v>
      </c>
      <c r="J308" s="3" t="s">
        <v>639</v>
      </c>
      <c r="K308" s="3" t="s">
        <v>22</v>
      </c>
      <c r="L308" s="10">
        <v>60</v>
      </c>
      <c r="M308" s="10">
        <v>40</v>
      </c>
      <c r="N308" s="10">
        <v>20</v>
      </c>
      <c r="O308" s="11">
        <v>0</v>
      </c>
      <c r="P308" s="10">
        <v>10</v>
      </c>
      <c r="Q308" s="10">
        <v>10</v>
      </c>
      <c r="R308" s="10">
        <v>20</v>
      </c>
      <c r="S308" s="10">
        <v>3</v>
      </c>
      <c r="T308" s="10">
        <v>5</v>
      </c>
      <c r="U308" s="9">
        <f t="shared" si="29"/>
        <v>80</v>
      </c>
      <c r="V308" s="9">
        <f t="shared" si="30"/>
        <v>60</v>
      </c>
      <c r="W308" s="9">
        <f t="shared" si="31"/>
        <v>40</v>
      </c>
      <c r="X308" s="9">
        <f t="shared" si="32"/>
        <v>90</v>
      </c>
      <c r="Y308" s="9">
        <f t="shared" si="33"/>
        <v>70</v>
      </c>
      <c r="Z308" s="9">
        <f t="shared" si="34"/>
        <v>50</v>
      </c>
      <c r="AA308" s="3" t="s">
        <v>685</v>
      </c>
      <c r="AB308" s="3" t="s">
        <v>655</v>
      </c>
    </row>
    <row r="309" spans="1:28" ht="76" customHeight="1">
      <c r="A309" s="6" t="s">
        <v>130</v>
      </c>
      <c r="B309" s="3" t="s">
        <v>208</v>
      </c>
      <c r="C309" s="3" t="s">
        <v>656</v>
      </c>
      <c r="D309" s="13" t="s">
        <v>364</v>
      </c>
      <c r="E309" s="8">
        <v>2</v>
      </c>
      <c r="F309" s="12" t="str">
        <f t="shared" si="28"/>
        <v>Ø8 × 62</v>
      </c>
      <c r="G309" s="3" t="s">
        <v>636</v>
      </c>
      <c r="H309" s="3" t="s">
        <v>637</v>
      </c>
      <c r="I309" s="3" t="str">
        <f>'Quantity grades'!G111</f>
        <v>D2 / PM tool steel</v>
      </c>
      <c r="J309" s="3" t="s">
        <v>639</v>
      </c>
      <c r="K309" s="3" t="s">
        <v>29</v>
      </c>
      <c r="L309" s="10">
        <v>6</v>
      </c>
      <c r="M309" s="15">
        <v>6</v>
      </c>
      <c r="N309" s="10">
        <v>60</v>
      </c>
      <c r="O309" s="11">
        <v>0</v>
      </c>
      <c r="P309" s="10">
        <v>0</v>
      </c>
      <c r="Q309" s="10">
        <v>0</v>
      </c>
      <c r="R309" s="10">
        <v>0</v>
      </c>
      <c r="S309" s="10">
        <v>1</v>
      </c>
      <c r="T309" s="10">
        <v>1</v>
      </c>
      <c r="U309" s="9">
        <f t="shared" si="29"/>
        <v>6</v>
      </c>
      <c r="V309" s="9" t="str">
        <f t="shared" si="30"/>
        <v/>
      </c>
      <c r="W309" s="9">
        <f t="shared" si="31"/>
        <v>60</v>
      </c>
      <c r="X309" s="9">
        <f t="shared" si="32"/>
        <v>8</v>
      </c>
      <c r="Y309" s="9" t="str">
        <f t="shared" si="33"/>
        <v/>
      </c>
      <c r="Z309" s="9">
        <f t="shared" si="34"/>
        <v>62</v>
      </c>
      <c r="AA309" s="3" t="s">
        <v>686</v>
      </c>
      <c r="AB309" s="3" t="s">
        <v>658</v>
      </c>
    </row>
    <row r="310" spans="1:28" ht="76" customHeight="1">
      <c r="A310" s="6" t="s">
        <v>130</v>
      </c>
      <c r="B310" s="3" t="s">
        <v>211</v>
      </c>
      <c r="C310" s="3" t="s">
        <v>635</v>
      </c>
      <c r="D310" s="16" t="s">
        <v>225</v>
      </c>
      <c r="E310" s="8">
        <v>1</v>
      </c>
      <c r="F310" s="12" t="str">
        <f t="shared" si="28"/>
        <v>370 × 200 × 50</v>
      </c>
      <c r="G310" s="3" t="s">
        <v>636</v>
      </c>
      <c r="H310" s="3" t="s">
        <v>637</v>
      </c>
      <c r="I310" s="3" t="s">
        <v>638</v>
      </c>
      <c r="J310" s="3" t="s">
        <v>639</v>
      </c>
      <c r="K310" s="3" t="s">
        <v>22</v>
      </c>
      <c r="L310" s="10">
        <v>280</v>
      </c>
      <c r="M310" s="10">
        <v>110</v>
      </c>
      <c r="N310" s="10">
        <v>25</v>
      </c>
      <c r="O310" s="11">
        <v>0</v>
      </c>
      <c r="P310" s="10">
        <v>40</v>
      </c>
      <c r="Q310" s="10">
        <v>40</v>
      </c>
      <c r="R310" s="10">
        <v>15</v>
      </c>
      <c r="S310" s="10">
        <v>3</v>
      </c>
      <c r="T310" s="10">
        <v>5</v>
      </c>
      <c r="U310" s="9">
        <f t="shared" si="29"/>
        <v>360</v>
      </c>
      <c r="V310" s="9">
        <f t="shared" si="30"/>
        <v>190</v>
      </c>
      <c r="W310" s="9">
        <f t="shared" si="31"/>
        <v>40</v>
      </c>
      <c r="X310" s="9">
        <f t="shared" si="32"/>
        <v>370</v>
      </c>
      <c r="Y310" s="9">
        <f t="shared" si="33"/>
        <v>200</v>
      </c>
      <c r="Z310" s="9">
        <f t="shared" si="34"/>
        <v>50</v>
      </c>
      <c r="AA310" s="3" t="s">
        <v>687</v>
      </c>
      <c r="AB310" s="3" t="s">
        <v>641</v>
      </c>
    </row>
    <row r="311" spans="1:28" ht="76" customHeight="1">
      <c r="A311" s="6" t="s">
        <v>130</v>
      </c>
      <c r="B311" s="3" t="s">
        <v>211</v>
      </c>
      <c r="C311" s="3" t="s">
        <v>642</v>
      </c>
      <c r="D311" s="16" t="s">
        <v>225</v>
      </c>
      <c r="E311" s="8">
        <v>1</v>
      </c>
      <c r="F311" s="12" t="str">
        <f t="shared" si="28"/>
        <v>370 × 200 × 60</v>
      </c>
      <c r="G311" s="3" t="s">
        <v>636</v>
      </c>
      <c r="H311" s="3" t="s">
        <v>637</v>
      </c>
      <c r="I311" s="3" t="s">
        <v>638</v>
      </c>
      <c r="J311" s="3" t="s">
        <v>639</v>
      </c>
      <c r="K311" s="3" t="s">
        <v>22</v>
      </c>
      <c r="L311" s="10">
        <v>280</v>
      </c>
      <c r="M311" s="10">
        <v>110</v>
      </c>
      <c r="N311" s="10">
        <v>25</v>
      </c>
      <c r="O311" s="11">
        <v>0</v>
      </c>
      <c r="P311" s="10">
        <v>40</v>
      </c>
      <c r="Q311" s="10">
        <v>40</v>
      </c>
      <c r="R311" s="10">
        <v>25</v>
      </c>
      <c r="S311" s="10">
        <v>3</v>
      </c>
      <c r="T311" s="10">
        <v>5</v>
      </c>
      <c r="U311" s="9">
        <f t="shared" si="29"/>
        <v>360</v>
      </c>
      <c r="V311" s="9">
        <f t="shared" si="30"/>
        <v>190</v>
      </c>
      <c r="W311" s="9">
        <f t="shared" si="31"/>
        <v>50</v>
      </c>
      <c r="X311" s="9">
        <f t="shared" si="32"/>
        <v>370</v>
      </c>
      <c r="Y311" s="9">
        <f t="shared" si="33"/>
        <v>200</v>
      </c>
      <c r="Z311" s="9">
        <f t="shared" si="34"/>
        <v>60</v>
      </c>
      <c r="AA311" s="3" t="s">
        <v>688</v>
      </c>
      <c r="AB311" s="3" t="s">
        <v>644</v>
      </c>
    </row>
    <row r="312" spans="1:28" ht="76" customHeight="1">
      <c r="A312" s="6" t="s">
        <v>130</v>
      </c>
      <c r="B312" s="3" t="s">
        <v>211</v>
      </c>
      <c r="C312" s="3" t="s">
        <v>645</v>
      </c>
      <c r="D312" s="13" t="s">
        <v>189</v>
      </c>
      <c r="E312" s="8">
        <v>1</v>
      </c>
      <c r="F312" s="12" t="str">
        <f t="shared" si="28"/>
        <v>80 × 100 × 60</v>
      </c>
      <c r="G312" s="3" t="s">
        <v>636</v>
      </c>
      <c r="H312" s="3" t="s">
        <v>637</v>
      </c>
      <c r="I312" s="3" t="str">
        <f>'Quantity grades'!G112</f>
        <v>PM tool steel / carbide cutting inserts; forming grades by station</v>
      </c>
      <c r="J312" s="3" t="s">
        <v>639</v>
      </c>
      <c r="K312" s="3" t="s">
        <v>22</v>
      </c>
      <c r="L312" s="10">
        <v>60</v>
      </c>
      <c r="M312" s="10">
        <v>80</v>
      </c>
      <c r="N312" s="10">
        <v>30</v>
      </c>
      <c r="O312" s="11">
        <v>0</v>
      </c>
      <c r="P312" s="10">
        <v>5</v>
      </c>
      <c r="Q312" s="10">
        <v>5</v>
      </c>
      <c r="R312" s="10">
        <v>20</v>
      </c>
      <c r="S312" s="10">
        <v>3</v>
      </c>
      <c r="T312" s="10">
        <v>5</v>
      </c>
      <c r="U312" s="9">
        <f t="shared" si="29"/>
        <v>70</v>
      </c>
      <c r="V312" s="9">
        <f t="shared" si="30"/>
        <v>90</v>
      </c>
      <c r="W312" s="9">
        <f t="shared" si="31"/>
        <v>50</v>
      </c>
      <c r="X312" s="9">
        <f t="shared" si="32"/>
        <v>80</v>
      </c>
      <c r="Y312" s="9">
        <f t="shared" si="33"/>
        <v>100</v>
      </c>
      <c r="Z312" s="9">
        <f t="shared" si="34"/>
        <v>60</v>
      </c>
      <c r="AA312" s="3" t="s">
        <v>689</v>
      </c>
      <c r="AB312" s="3" t="s">
        <v>647</v>
      </c>
    </row>
    <row r="313" spans="1:28" ht="76" customHeight="1">
      <c r="A313" s="6" t="s">
        <v>130</v>
      </c>
      <c r="B313" s="3" t="s">
        <v>211</v>
      </c>
      <c r="C313" s="3" t="s">
        <v>648</v>
      </c>
      <c r="D313" s="14" t="s">
        <v>196</v>
      </c>
      <c r="E313" s="8">
        <v>1</v>
      </c>
      <c r="F313" s="12" t="str">
        <f t="shared" si="28"/>
        <v>100 × 120 × 40</v>
      </c>
      <c r="G313" s="3" t="s">
        <v>636</v>
      </c>
      <c r="H313" s="3" t="s">
        <v>637</v>
      </c>
      <c r="I313" s="3" t="str">
        <f>'Quantity grades'!G112</f>
        <v>PM tool steel / carbide cutting inserts; forming grades by station</v>
      </c>
      <c r="J313" s="3" t="s">
        <v>639</v>
      </c>
      <c r="K313" s="3" t="s">
        <v>22</v>
      </c>
      <c r="L313" s="10">
        <v>60</v>
      </c>
      <c r="M313" s="10">
        <v>80</v>
      </c>
      <c r="N313" s="10">
        <v>10</v>
      </c>
      <c r="O313" s="11">
        <v>0</v>
      </c>
      <c r="P313" s="10">
        <v>15</v>
      </c>
      <c r="Q313" s="10">
        <v>15</v>
      </c>
      <c r="R313" s="10">
        <v>20</v>
      </c>
      <c r="S313" s="10">
        <v>3</v>
      </c>
      <c r="T313" s="10">
        <v>5</v>
      </c>
      <c r="U313" s="9">
        <f t="shared" si="29"/>
        <v>90</v>
      </c>
      <c r="V313" s="9">
        <f t="shared" si="30"/>
        <v>110</v>
      </c>
      <c r="W313" s="9">
        <f t="shared" si="31"/>
        <v>30</v>
      </c>
      <c r="X313" s="9">
        <f t="shared" si="32"/>
        <v>100</v>
      </c>
      <c r="Y313" s="9">
        <f t="shared" si="33"/>
        <v>120</v>
      </c>
      <c r="Z313" s="9">
        <f t="shared" si="34"/>
        <v>40</v>
      </c>
      <c r="AA313" s="3" t="s">
        <v>690</v>
      </c>
      <c r="AB313" s="3" t="s">
        <v>650</v>
      </c>
    </row>
    <row r="314" spans="1:28" ht="76" customHeight="1">
      <c r="A314" s="6" t="s">
        <v>130</v>
      </c>
      <c r="B314" s="3" t="s">
        <v>211</v>
      </c>
      <c r="C314" s="3" t="s">
        <v>188</v>
      </c>
      <c r="D314" s="13" t="s">
        <v>189</v>
      </c>
      <c r="E314" s="8">
        <v>2</v>
      </c>
      <c r="F314" s="12" t="str">
        <f t="shared" si="28"/>
        <v>80 × 60 × 60</v>
      </c>
      <c r="G314" s="3" t="s">
        <v>636</v>
      </c>
      <c r="H314" s="3" t="s">
        <v>637</v>
      </c>
      <c r="I314" s="3" t="str">
        <f>'Quantity grades'!G112</f>
        <v>PM tool steel / carbide cutting inserts; forming grades by station</v>
      </c>
      <c r="J314" s="3" t="s">
        <v>639</v>
      </c>
      <c r="K314" s="3" t="s">
        <v>22</v>
      </c>
      <c r="L314" s="10">
        <v>60</v>
      </c>
      <c r="M314" s="10">
        <v>40</v>
      </c>
      <c r="N314" s="10">
        <v>30</v>
      </c>
      <c r="O314" s="11">
        <v>0</v>
      </c>
      <c r="P314" s="10">
        <v>5</v>
      </c>
      <c r="Q314" s="10">
        <v>5</v>
      </c>
      <c r="R314" s="10">
        <v>20</v>
      </c>
      <c r="S314" s="10">
        <v>3</v>
      </c>
      <c r="T314" s="10">
        <v>5</v>
      </c>
      <c r="U314" s="9">
        <f t="shared" si="29"/>
        <v>70</v>
      </c>
      <c r="V314" s="9">
        <f t="shared" si="30"/>
        <v>50</v>
      </c>
      <c r="W314" s="9">
        <f t="shared" si="31"/>
        <v>50</v>
      </c>
      <c r="X314" s="9">
        <f t="shared" si="32"/>
        <v>80</v>
      </c>
      <c r="Y314" s="9">
        <f t="shared" si="33"/>
        <v>60</v>
      </c>
      <c r="Z314" s="9">
        <f t="shared" si="34"/>
        <v>60</v>
      </c>
      <c r="AA314" s="3" t="s">
        <v>691</v>
      </c>
      <c r="AB314" s="3" t="s">
        <v>652</v>
      </c>
    </row>
    <row r="315" spans="1:28" ht="76" customHeight="1">
      <c r="A315" s="6" t="s">
        <v>130</v>
      </c>
      <c r="B315" s="3" t="s">
        <v>211</v>
      </c>
      <c r="C315" s="3" t="s">
        <v>653</v>
      </c>
      <c r="D315" s="14" t="s">
        <v>196</v>
      </c>
      <c r="E315" s="8">
        <v>2</v>
      </c>
      <c r="F315" s="12" t="str">
        <f t="shared" si="28"/>
        <v>90 × 70 × 50</v>
      </c>
      <c r="G315" s="3" t="s">
        <v>636</v>
      </c>
      <c r="H315" s="3" t="s">
        <v>637</v>
      </c>
      <c r="I315" s="3" t="str">
        <f>'Quantity grades'!G112</f>
        <v>PM tool steel / carbide cutting inserts; forming grades by station</v>
      </c>
      <c r="J315" s="3" t="s">
        <v>639</v>
      </c>
      <c r="K315" s="3" t="s">
        <v>22</v>
      </c>
      <c r="L315" s="10">
        <v>60</v>
      </c>
      <c r="M315" s="10">
        <v>40</v>
      </c>
      <c r="N315" s="10">
        <v>20</v>
      </c>
      <c r="O315" s="11">
        <v>0</v>
      </c>
      <c r="P315" s="10">
        <v>10</v>
      </c>
      <c r="Q315" s="10">
        <v>10</v>
      </c>
      <c r="R315" s="10">
        <v>20</v>
      </c>
      <c r="S315" s="10">
        <v>3</v>
      </c>
      <c r="T315" s="10">
        <v>5</v>
      </c>
      <c r="U315" s="9">
        <f t="shared" si="29"/>
        <v>80</v>
      </c>
      <c r="V315" s="9">
        <f t="shared" si="30"/>
        <v>60</v>
      </c>
      <c r="W315" s="9">
        <f t="shared" si="31"/>
        <v>40</v>
      </c>
      <c r="X315" s="9">
        <f t="shared" si="32"/>
        <v>90</v>
      </c>
      <c r="Y315" s="9">
        <f t="shared" si="33"/>
        <v>70</v>
      </c>
      <c r="Z315" s="9">
        <f t="shared" si="34"/>
        <v>50</v>
      </c>
      <c r="AA315" s="3" t="s">
        <v>692</v>
      </c>
      <c r="AB315" s="3" t="s">
        <v>655</v>
      </c>
    </row>
    <row r="316" spans="1:28" ht="76" customHeight="1">
      <c r="A316" s="6" t="s">
        <v>130</v>
      </c>
      <c r="B316" s="3" t="s">
        <v>211</v>
      </c>
      <c r="C316" s="3" t="s">
        <v>656</v>
      </c>
      <c r="D316" s="13" t="s">
        <v>364</v>
      </c>
      <c r="E316" s="8">
        <v>2</v>
      </c>
      <c r="F316" s="12" t="str">
        <f t="shared" si="28"/>
        <v>Ø8 × 62</v>
      </c>
      <c r="G316" s="3" t="s">
        <v>636</v>
      </c>
      <c r="H316" s="3" t="s">
        <v>637</v>
      </c>
      <c r="I316" s="3" t="str">
        <f>'Quantity grades'!G112</f>
        <v>PM tool steel / carbide cutting inserts; forming grades by station</v>
      </c>
      <c r="J316" s="3" t="s">
        <v>639</v>
      </c>
      <c r="K316" s="3" t="s">
        <v>29</v>
      </c>
      <c r="L316" s="10">
        <v>6</v>
      </c>
      <c r="M316" s="15">
        <v>6</v>
      </c>
      <c r="N316" s="10">
        <v>60</v>
      </c>
      <c r="O316" s="11">
        <v>0</v>
      </c>
      <c r="P316" s="10">
        <v>0</v>
      </c>
      <c r="Q316" s="10">
        <v>0</v>
      </c>
      <c r="R316" s="10">
        <v>0</v>
      </c>
      <c r="S316" s="10">
        <v>1</v>
      </c>
      <c r="T316" s="10">
        <v>1</v>
      </c>
      <c r="U316" s="9">
        <f t="shared" si="29"/>
        <v>6</v>
      </c>
      <c r="V316" s="9" t="str">
        <f t="shared" si="30"/>
        <v/>
      </c>
      <c r="W316" s="9">
        <f t="shared" si="31"/>
        <v>60</v>
      </c>
      <c r="X316" s="9">
        <f t="shared" si="32"/>
        <v>8</v>
      </c>
      <c r="Y316" s="9" t="str">
        <f t="shared" si="33"/>
        <v/>
      </c>
      <c r="Z316" s="9">
        <f t="shared" si="34"/>
        <v>62</v>
      </c>
      <c r="AA316" s="3" t="s">
        <v>693</v>
      </c>
      <c r="AB316" s="3" t="s">
        <v>658</v>
      </c>
    </row>
    <row r="317" spans="1:28" ht="76" customHeight="1">
      <c r="A317" s="6" t="s">
        <v>139</v>
      </c>
      <c r="B317" s="3" t="s">
        <v>187</v>
      </c>
      <c r="C317" s="3" t="s">
        <v>694</v>
      </c>
      <c r="D317" s="14" t="s">
        <v>245</v>
      </c>
      <c r="E317" s="8">
        <v>2</v>
      </c>
      <c r="F317" s="12" t="str">
        <f t="shared" si="28"/>
        <v>240 × 130 × 70</v>
      </c>
      <c r="G317" s="3" t="s">
        <v>695</v>
      </c>
      <c r="H317" s="3" t="s">
        <v>696</v>
      </c>
      <c r="I317" s="3" t="str">
        <f>'Quantity grades'!G113</f>
        <v>P20 / 4140</v>
      </c>
      <c r="J317" s="3" t="s">
        <v>697</v>
      </c>
      <c r="K317" s="3" t="s">
        <v>22</v>
      </c>
      <c r="L317" s="10">
        <v>150</v>
      </c>
      <c r="M317" s="10">
        <v>40</v>
      </c>
      <c r="N317" s="10">
        <v>20</v>
      </c>
      <c r="O317" s="11">
        <v>0</v>
      </c>
      <c r="P317" s="10">
        <v>40</v>
      </c>
      <c r="Q317" s="10">
        <v>40</v>
      </c>
      <c r="R317" s="10">
        <v>40</v>
      </c>
      <c r="S317" s="10">
        <v>3</v>
      </c>
      <c r="T317" s="10">
        <v>5</v>
      </c>
      <c r="U317" s="9">
        <f t="shared" si="29"/>
        <v>230</v>
      </c>
      <c r="V317" s="9">
        <f t="shared" si="30"/>
        <v>120</v>
      </c>
      <c r="W317" s="9">
        <f t="shared" si="31"/>
        <v>60</v>
      </c>
      <c r="X317" s="9">
        <f t="shared" si="32"/>
        <v>240</v>
      </c>
      <c r="Y317" s="9">
        <f t="shared" si="33"/>
        <v>130</v>
      </c>
      <c r="Z317" s="9">
        <f t="shared" si="34"/>
        <v>70</v>
      </c>
      <c r="AA317" s="3" t="s">
        <v>698</v>
      </c>
      <c r="AB317" s="3" t="s">
        <v>699</v>
      </c>
    </row>
    <row r="318" spans="1:28" ht="76" customHeight="1">
      <c r="A318" s="6" t="s">
        <v>139</v>
      </c>
      <c r="B318" s="3" t="s">
        <v>187</v>
      </c>
      <c r="C318" s="3" t="s">
        <v>700</v>
      </c>
      <c r="D318" s="13" t="s">
        <v>701</v>
      </c>
      <c r="E318" s="8">
        <v>2</v>
      </c>
      <c r="F318" s="12" t="str">
        <f t="shared" si="28"/>
        <v>Ø40 × 110</v>
      </c>
      <c r="G318" s="3" t="s">
        <v>695</v>
      </c>
      <c r="H318" s="3" t="s">
        <v>696</v>
      </c>
      <c r="I318" s="3" t="s">
        <v>702</v>
      </c>
      <c r="J318" s="3" t="s">
        <v>697</v>
      </c>
      <c r="K318" s="3" t="s">
        <v>29</v>
      </c>
      <c r="L318" s="10">
        <v>30</v>
      </c>
      <c r="M318" s="15">
        <v>30</v>
      </c>
      <c r="N318" s="10">
        <v>80</v>
      </c>
      <c r="O318" s="11">
        <v>0</v>
      </c>
      <c r="P318" s="10">
        <v>0</v>
      </c>
      <c r="Q318" s="10">
        <v>0</v>
      </c>
      <c r="R318" s="10">
        <v>20</v>
      </c>
      <c r="S318" s="10">
        <v>3</v>
      </c>
      <c r="T318" s="10">
        <v>5</v>
      </c>
      <c r="U318" s="9">
        <f t="shared" si="29"/>
        <v>30</v>
      </c>
      <c r="V318" s="9" t="str">
        <f t="shared" si="30"/>
        <v/>
      </c>
      <c r="W318" s="9">
        <f t="shared" si="31"/>
        <v>100</v>
      </c>
      <c r="X318" s="9">
        <f t="shared" si="32"/>
        <v>40</v>
      </c>
      <c r="Y318" s="9" t="str">
        <f t="shared" si="33"/>
        <v/>
      </c>
      <c r="Z318" s="9">
        <f t="shared" si="34"/>
        <v>110</v>
      </c>
      <c r="AA318" s="3" t="s">
        <v>703</v>
      </c>
      <c r="AB318" s="3" t="s">
        <v>704</v>
      </c>
    </row>
    <row r="319" spans="1:28" ht="76" customHeight="1">
      <c r="A319" s="6" t="s">
        <v>139</v>
      </c>
      <c r="B319" s="3" t="s">
        <v>199</v>
      </c>
      <c r="C319" s="3" t="s">
        <v>694</v>
      </c>
      <c r="D319" s="14" t="s">
        <v>245</v>
      </c>
      <c r="E319" s="8">
        <v>2</v>
      </c>
      <c r="F319" s="12" t="str">
        <f t="shared" si="28"/>
        <v>240 × 130 × 70</v>
      </c>
      <c r="G319" s="3" t="s">
        <v>695</v>
      </c>
      <c r="H319" s="3" t="s">
        <v>696</v>
      </c>
      <c r="I319" s="3" t="str">
        <f>'Quantity grades'!G114</f>
        <v>P20 / 4140</v>
      </c>
      <c r="J319" s="3" t="s">
        <v>697</v>
      </c>
      <c r="K319" s="3" t="s">
        <v>22</v>
      </c>
      <c r="L319" s="10">
        <v>150</v>
      </c>
      <c r="M319" s="10">
        <v>40</v>
      </c>
      <c r="N319" s="10">
        <v>20</v>
      </c>
      <c r="O319" s="11">
        <v>0</v>
      </c>
      <c r="P319" s="10">
        <v>40</v>
      </c>
      <c r="Q319" s="10">
        <v>40</v>
      </c>
      <c r="R319" s="10">
        <v>40</v>
      </c>
      <c r="S319" s="10">
        <v>3</v>
      </c>
      <c r="T319" s="10">
        <v>5</v>
      </c>
      <c r="U319" s="9">
        <f t="shared" si="29"/>
        <v>230</v>
      </c>
      <c r="V319" s="9">
        <f t="shared" si="30"/>
        <v>120</v>
      </c>
      <c r="W319" s="9">
        <f t="shared" si="31"/>
        <v>60</v>
      </c>
      <c r="X319" s="9">
        <f t="shared" si="32"/>
        <v>240</v>
      </c>
      <c r="Y319" s="9">
        <f t="shared" si="33"/>
        <v>130</v>
      </c>
      <c r="Z319" s="9">
        <f t="shared" si="34"/>
        <v>70</v>
      </c>
      <c r="AA319" s="3" t="s">
        <v>705</v>
      </c>
      <c r="AB319" s="3" t="s">
        <v>699</v>
      </c>
    </row>
    <row r="320" spans="1:28" ht="76" customHeight="1">
      <c r="A320" s="6" t="s">
        <v>139</v>
      </c>
      <c r="B320" s="3" t="s">
        <v>199</v>
      </c>
      <c r="C320" s="3" t="s">
        <v>700</v>
      </c>
      <c r="D320" s="13" t="s">
        <v>701</v>
      </c>
      <c r="E320" s="8">
        <v>2</v>
      </c>
      <c r="F320" s="12" t="str">
        <f t="shared" si="28"/>
        <v>Ø40 × 110</v>
      </c>
      <c r="G320" s="3" t="s">
        <v>695</v>
      </c>
      <c r="H320" s="3" t="s">
        <v>696</v>
      </c>
      <c r="I320" s="3" t="s">
        <v>702</v>
      </c>
      <c r="J320" s="3" t="s">
        <v>697</v>
      </c>
      <c r="K320" s="3" t="s">
        <v>29</v>
      </c>
      <c r="L320" s="10">
        <v>30</v>
      </c>
      <c r="M320" s="15">
        <v>30</v>
      </c>
      <c r="N320" s="10">
        <v>80</v>
      </c>
      <c r="O320" s="11">
        <v>0</v>
      </c>
      <c r="P320" s="10">
        <v>0</v>
      </c>
      <c r="Q320" s="10">
        <v>0</v>
      </c>
      <c r="R320" s="10">
        <v>20</v>
      </c>
      <c r="S320" s="10">
        <v>3</v>
      </c>
      <c r="T320" s="10">
        <v>5</v>
      </c>
      <c r="U320" s="9">
        <f t="shared" si="29"/>
        <v>30</v>
      </c>
      <c r="V320" s="9" t="str">
        <f t="shared" si="30"/>
        <v/>
      </c>
      <c r="W320" s="9">
        <f t="shared" si="31"/>
        <v>100</v>
      </c>
      <c r="X320" s="9">
        <f t="shared" si="32"/>
        <v>40</v>
      </c>
      <c r="Y320" s="9" t="str">
        <f t="shared" si="33"/>
        <v/>
      </c>
      <c r="Z320" s="9">
        <f t="shared" si="34"/>
        <v>110</v>
      </c>
      <c r="AA320" s="3" t="s">
        <v>706</v>
      </c>
      <c r="AB320" s="3" t="s">
        <v>704</v>
      </c>
    </row>
    <row r="321" spans="1:28" ht="76" customHeight="1">
      <c r="A321" s="6" t="s">
        <v>139</v>
      </c>
      <c r="B321" s="3" t="s">
        <v>202</v>
      </c>
      <c r="C321" s="3" t="s">
        <v>694</v>
      </c>
      <c r="D321" s="14" t="s">
        <v>245</v>
      </c>
      <c r="E321" s="8">
        <v>2</v>
      </c>
      <c r="F321" s="12" t="str">
        <f t="shared" si="28"/>
        <v>240 × 130 × 70</v>
      </c>
      <c r="G321" s="3" t="s">
        <v>695</v>
      </c>
      <c r="H321" s="3" t="s">
        <v>696</v>
      </c>
      <c r="I321" s="3" t="str">
        <f>'Quantity grades'!G115</f>
        <v>P20 / 4140</v>
      </c>
      <c r="J321" s="3" t="s">
        <v>697</v>
      </c>
      <c r="K321" s="3" t="s">
        <v>22</v>
      </c>
      <c r="L321" s="10">
        <v>150</v>
      </c>
      <c r="M321" s="10">
        <v>40</v>
      </c>
      <c r="N321" s="10">
        <v>20</v>
      </c>
      <c r="O321" s="11">
        <v>0</v>
      </c>
      <c r="P321" s="10">
        <v>40</v>
      </c>
      <c r="Q321" s="10">
        <v>40</v>
      </c>
      <c r="R321" s="10">
        <v>40</v>
      </c>
      <c r="S321" s="10">
        <v>3</v>
      </c>
      <c r="T321" s="10">
        <v>5</v>
      </c>
      <c r="U321" s="9">
        <f t="shared" si="29"/>
        <v>230</v>
      </c>
      <c r="V321" s="9">
        <f t="shared" si="30"/>
        <v>120</v>
      </c>
      <c r="W321" s="9">
        <f t="shared" si="31"/>
        <v>60</v>
      </c>
      <c r="X321" s="9">
        <f t="shared" si="32"/>
        <v>240</v>
      </c>
      <c r="Y321" s="9">
        <f t="shared" si="33"/>
        <v>130</v>
      </c>
      <c r="Z321" s="9">
        <f t="shared" si="34"/>
        <v>70</v>
      </c>
      <c r="AA321" s="3" t="s">
        <v>707</v>
      </c>
      <c r="AB321" s="3" t="s">
        <v>699</v>
      </c>
    </row>
    <row r="322" spans="1:28" ht="76" customHeight="1">
      <c r="A322" s="6" t="s">
        <v>139</v>
      </c>
      <c r="B322" s="3" t="s">
        <v>202</v>
      </c>
      <c r="C322" s="3" t="s">
        <v>700</v>
      </c>
      <c r="D322" s="13" t="s">
        <v>701</v>
      </c>
      <c r="E322" s="8">
        <v>2</v>
      </c>
      <c r="F322" s="12" t="str">
        <f t="shared" si="28"/>
        <v>Ø40 × 110</v>
      </c>
      <c r="G322" s="3" t="s">
        <v>695</v>
      </c>
      <c r="H322" s="3" t="s">
        <v>696</v>
      </c>
      <c r="I322" s="3" t="s">
        <v>702</v>
      </c>
      <c r="J322" s="3" t="s">
        <v>697</v>
      </c>
      <c r="K322" s="3" t="s">
        <v>29</v>
      </c>
      <c r="L322" s="10">
        <v>30</v>
      </c>
      <c r="M322" s="15">
        <v>30</v>
      </c>
      <c r="N322" s="10">
        <v>80</v>
      </c>
      <c r="O322" s="11">
        <v>0</v>
      </c>
      <c r="P322" s="10">
        <v>0</v>
      </c>
      <c r="Q322" s="10">
        <v>0</v>
      </c>
      <c r="R322" s="10">
        <v>20</v>
      </c>
      <c r="S322" s="10">
        <v>3</v>
      </c>
      <c r="T322" s="10">
        <v>5</v>
      </c>
      <c r="U322" s="9">
        <f t="shared" si="29"/>
        <v>30</v>
      </c>
      <c r="V322" s="9" t="str">
        <f t="shared" si="30"/>
        <v/>
      </c>
      <c r="W322" s="9">
        <f t="shared" si="31"/>
        <v>100</v>
      </c>
      <c r="X322" s="9">
        <f t="shared" si="32"/>
        <v>40</v>
      </c>
      <c r="Y322" s="9" t="str">
        <f t="shared" si="33"/>
        <v/>
      </c>
      <c r="Z322" s="9">
        <f t="shared" si="34"/>
        <v>110</v>
      </c>
      <c r="AA322" s="3" t="s">
        <v>708</v>
      </c>
      <c r="AB322" s="3" t="s">
        <v>704</v>
      </c>
    </row>
    <row r="323" spans="1:28" ht="76" customHeight="1">
      <c r="A323" s="6" t="s">
        <v>139</v>
      </c>
      <c r="B323" s="3" t="s">
        <v>205</v>
      </c>
      <c r="C323" s="3" t="s">
        <v>694</v>
      </c>
      <c r="D323" s="14" t="s">
        <v>245</v>
      </c>
      <c r="E323" s="8">
        <v>2</v>
      </c>
      <c r="F323" s="12" t="str">
        <f t="shared" si="28"/>
        <v>240 × 130 × 70</v>
      </c>
      <c r="G323" s="3" t="s">
        <v>695</v>
      </c>
      <c r="H323" s="3" t="s">
        <v>696</v>
      </c>
      <c r="I323" s="3" t="str">
        <f>'Quantity grades'!G116</f>
        <v>A2 / H13 inserts in supported body</v>
      </c>
      <c r="J323" s="3" t="s">
        <v>697</v>
      </c>
      <c r="K323" s="3" t="s">
        <v>22</v>
      </c>
      <c r="L323" s="10">
        <v>150</v>
      </c>
      <c r="M323" s="10">
        <v>40</v>
      </c>
      <c r="N323" s="10">
        <v>20</v>
      </c>
      <c r="O323" s="11">
        <v>0</v>
      </c>
      <c r="P323" s="10">
        <v>40</v>
      </c>
      <c r="Q323" s="10">
        <v>40</v>
      </c>
      <c r="R323" s="10">
        <v>40</v>
      </c>
      <c r="S323" s="10">
        <v>3</v>
      </c>
      <c r="T323" s="10">
        <v>5</v>
      </c>
      <c r="U323" s="9">
        <f t="shared" si="29"/>
        <v>230</v>
      </c>
      <c r="V323" s="9">
        <f t="shared" si="30"/>
        <v>120</v>
      </c>
      <c r="W323" s="9">
        <f t="shared" si="31"/>
        <v>60</v>
      </c>
      <c r="X323" s="9">
        <f t="shared" si="32"/>
        <v>240</v>
      </c>
      <c r="Y323" s="9">
        <f t="shared" si="33"/>
        <v>130</v>
      </c>
      <c r="Z323" s="9">
        <f t="shared" si="34"/>
        <v>70</v>
      </c>
      <c r="AA323" s="3" t="s">
        <v>709</v>
      </c>
      <c r="AB323" s="3" t="s">
        <v>699</v>
      </c>
    </row>
    <row r="324" spans="1:28" ht="76" customHeight="1">
      <c r="A324" s="6" t="s">
        <v>139</v>
      </c>
      <c r="B324" s="3" t="s">
        <v>205</v>
      </c>
      <c r="C324" s="3" t="s">
        <v>700</v>
      </c>
      <c r="D324" s="13" t="s">
        <v>701</v>
      </c>
      <c r="E324" s="8">
        <v>2</v>
      </c>
      <c r="F324" s="12" t="str">
        <f t="shared" si="28"/>
        <v>Ø40 × 110</v>
      </c>
      <c r="G324" s="3" t="s">
        <v>695</v>
      </c>
      <c r="H324" s="3" t="s">
        <v>696</v>
      </c>
      <c r="I324" s="3" t="s">
        <v>702</v>
      </c>
      <c r="J324" s="3" t="s">
        <v>697</v>
      </c>
      <c r="K324" s="3" t="s">
        <v>29</v>
      </c>
      <c r="L324" s="10">
        <v>30</v>
      </c>
      <c r="M324" s="15">
        <v>30</v>
      </c>
      <c r="N324" s="10">
        <v>80</v>
      </c>
      <c r="O324" s="11">
        <v>0</v>
      </c>
      <c r="P324" s="10">
        <v>0</v>
      </c>
      <c r="Q324" s="10">
        <v>0</v>
      </c>
      <c r="R324" s="10">
        <v>20</v>
      </c>
      <c r="S324" s="10">
        <v>3</v>
      </c>
      <c r="T324" s="10">
        <v>5</v>
      </c>
      <c r="U324" s="9">
        <f t="shared" si="29"/>
        <v>30</v>
      </c>
      <c r="V324" s="9" t="str">
        <f t="shared" si="30"/>
        <v/>
      </c>
      <c r="W324" s="9">
        <f t="shared" si="31"/>
        <v>100</v>
      </c>
      <c r="X324" s="9">
        <f t="shared" si="32"/>
        <v>40</v>
      </c>
      <c r="Y324" s="9" t="str">
        <f t="shared" si="33"/>
        <v/>
      </c>
      <c r="Z324" s="9">
        <f t="shared" si="34"/>
        <v>110</v>
      </c>
      <c r="AA324" s="3" t="s">
        <v>710</v>
      </c>
      <c r="AB324" s="3" t="s">
        <v>704</v>
      </c>
    </row>
    <row r="325" spans="1:28" ht="76" customHeight="1">
      <c r="A325" s="6" t="s">
        <v>139</v>
      </c>
      <c r="B325" s="3" t="s">
        <v>208</v>
      </c>
      <c r="C325" s="3" t="s">
        <v>694</v>
      </c>
      <c r="D325" s="14" t="s">
        <v>245</v>
      </c>
      <c r="E325" s="8">
        <v>2</v>
      </c>
      <c r="F325" s="12" t="str">
        <f t="shared" ref="F325:F330" si="35">IF(K325="Round billet","Ø"&amp;X325&amp;" × "&amp;Z325,X325&amp;" × "&amp;Y325&amp;" × "&amp;Z325)</f>
        <v>240 × 130 × 70</v>
      </c>
      <c r="G325" s="3" t="s">
        <v>695</v>
      </c>
      <c r="H325" s="3" t="s">
        <v>696</v>
      </c>
      <c r="I325" s="3" t="str">
        <f>'Quantity grades'!G117</f>
        <v>A2 / H13 / premium cold-work steel</v>
      </c>
      <c r="J325" s="3" t="s">
        <v>697</v>
      </c>
      <c r="K325" s="3" t="s">
        <v>22</v>
      </c>
      <c r="L325" s="10">
        <v>150</v>
      </c>
      <c r="M325" s="10">
        <v>40</v>
      </c>
      <c r="N325" s="10">
        <v>20</v>
      </c>
      <c r="O325" s="11">
        <v>0</v>
      </c>
      <c r="P325" s="10">
        <v>40</v>
      </c>
      <c r="Q325" s="10">
        <v>40</v>
      </c>
      <c r="R325" s="10">
        <v>40</v>
      </c>
      <c r="S325" s="10">
        <v>3</v>
      </c>
      <c r="T325" s="10">
        <v>5</v>
      </c>
      <c r="U325" s="9">
        <f t="shared" ref="U325:U330" si="36">L325*(1+O325)+2*P325</f>
        <v>230</v>
      </c>
      <c r="V325" s="9">
        <f t="shared" ref="V325:V330" si="37">IF(K325="Round billet","",M325*(1+O325)+2*Q325)</f>
        <v>120</v>
      </c>
      <c r="W325" s="9">
        <f t="shared" ref="W325:W330" si="38">N325*(1+O325)+R325</f>
        <v>60</v>
      </c>
      <c r="X325" s="9">
        <f t="shared" ref="X325:X330" si="39">ROUNDUP((U325+2*S325)/T325,0)*T325</f>
        <v>240</v>
      </c>
      <c r="Y325" s="9">
        <f t="shared" ref="Y325:Y330" si="40">IF(K325="Round billet","",ROUNDUP((V325+2*S325)/T325,0)*T325)</f>
        <v>130</v>
      </c>
      <c r="Z325" s="9">
        <f t="shared" ref="Z325:Z330" si="41">ROUNDUP((W325+2*S325)/T325,0)*T325</f>
        <v>70</v>
      </c>
      <c r="AA325" s="3" t="s">
        <v>711</v>
      </c>
      <c r="AB325" s="3" t="s">
        <v>699</v>
      </c>
    </row>
    <row r="326" spans="1:28" ht="76" customHeight="1">
      <c r="A326" s="6" t="s">
        <v>139</v>
      </c>
      <c r="B326" s="3" t="s">
        <v>208</v>
      </c>
      <c r="C326" s="3" t="s">
        <v>700</v>
      </c>
      <c r="D326" s="13" t="s">
        <v>701</v>
      </c>
      <c r="E326" s="8">
        <v>2</v>
      </c>
      <c r="F326" s="12" t="str">
        <f t="shared" si="35"/>
        <v>Ø40 × 110</v>
      </c>
      <c r="G326" s="3" t="s">
        <v>695</v>
      </c>
      <c r="H326" s="3" t="s">
        <v>696</v>
      </c>
      <c r="I326" s="3" t="s">
        <v>702</v>
      </c>
      <c r="J326" s="3" t="s">
        <v>697</v>
      </c>
      <c r="K326" s="3" t="s">
        <v>29</v>
      </c>
      <c r="L326" s="10">
        <v>30</v>
      </c>
      <c r="M326" s="15">
        <v>30</v>
      </c>
      <c r="N326" s="10">
        <v>80</v>
      </c>
      <c r="O326" s="11">
        <v>0</v>
      </c>
      <c r="P326" s="10">
        <v>0</v>
      </c>
      <c r="Q326" s="10">
        <v>0</v>
      </c>
      <c r="R326" s="10">
        <v>20</v>
      </c>
      <c r="S326" s="10">
        <v>3</v>
      </c>
      <c r="T326" s="10">
        <v>5</v>
      </c>
      <c r="U326" s="9">
        <f t="shared" si="36"/>
        <v>30</v>
      </c>
      <c r="V326" s="9" t="str">
        <f t="shared" si="37"/>
        <v/>
      </c>
      <c r="W326" s="9">
        <f t="shared" si="38"/>
        <v>100</v>
      </c>
      <c r="X326" s="9">
        <f t="shared" si="39"/>
        <v>40</v>
      </c>
      <c r="Y326" s="9" t="str">
        <f t="shared" si="40"/>
        <v/>
      </c>
      <c r="Z326" s="9">
        <f t="shared" si="41"/>
        <v>110</v>
      </c>
      <c r="AA326" s="3" t="s">
        <v>712</v>
      </c>
      <c r="AB326" s="3" t="s">
        <v>704</v>
      </c>
    </row>
    <row r="327" spans="1:28" ht="76" customHeight="1">
      <c r="A327" s="6" t="s">
        <v>139</v>
      </c>
      <c r="B327" s="3" t="s">
        <v>211</v>
      </c>
      <c r="C327" s="3" t="s">
        <v>694</v>
      </c>
      <c r="D327" s="14" t="s">
        <v>245</v>
      </c>
      <c r="E327" s="8">
        <v>2</v>
      </c>
      <c r="F327" s="12" t="str">
        <f t="shared" si="35"/>
        <v>240 × 130 × 70</v>
      </c>
      <c r="G327" s="3" t="s">
        <v>695</v>
      </c>
      <c r="H327" s="3" t="s">
        <v>696</v>
      </c>
      <c r="I327" s="3" t="str">
        <f>'Quantity grades'!G118</f>
        <v>A2 / H13 / premium cold-work steel</v>
      </c>
      <c r="J327" s="3" t="s">
        <v>697</v>
      </c>
      <c r="K327" s="3" t="s">
        <v>22</v>
      </c>
      <c r="L327" s="10">
        <v>150</v>
      </c>
      <c r="M327" s="10">
        <v>40</v>
      </c>
      <c r="N327" s="10">
        <v>20</v>
      </c>
      <c r="O327" s="11">
        <v>0</v>
      </c>
      <c r="P327" s="10">
        <v>40</v>
      </c>
      <c r="Q327" s="10">
        <v>40</v>
      </c>
      <c r="R327" s="10">
        <v>40</v>
      </c>
      <c r="S327" s="10">
        <v>3</v>
      </c>
      <c r="T327" s="10">
        <v>5</v>
      </c>
      <c r="U327" s="9">
        <f t="shared" si="36"/>
        <v>230</v>
      </c>
      <c r="V327" s="9">
        <f t="shared" si="37"/>
        <v>120</v>
      </c>
      <c r="W327" s="9">
        <f t="shared" si="38"/>
        <v>60</v>
      </c>
      <c r="X327" s="9">
        <f t="shared" si="39"/>
        <v>240</v>
      </c>
      <c r="Y327" s="9">
        <f t="shared" si="40"/>
        <v>130</v>
      </c>
      <c r="Z327" s="9">
        <f t="shared" si="41"/>
        <v>70</v>
      </c>
      <c r="AA327" s="3" t="s">
        <v>713</v>
      </c>
      <c r="AB327" s="3" t="s">
        <v>699</v>
      </c>
    </row>
    <row r="328" spans="1:28" ht="76" customHeight="1">
      <c r="A328" s="6" t="s">
        <v>139</v>
      </c>
      <c r="B328" s="3" t="s">
        <v>211</v>
      </c>
      <c r="C328" s="3" t="s">
        <v>700</v>
      </c>
      <c r="D328" s="13" t="s">
        <v>701</v>
      </c>
      <c r="E328" s="8">
        <v>2</v>
      </c>
      <c r="F328" s="12" t="str">
        <f t="shared" si="35"/>
        <v>Ø40 × 110</v>
      </c>
      <c r="G328" s="3" t="s">
        <v>695</v>
      </c>
      <c r="H328" s="3" t="s">
        <v>696</v>
      </c>
      <c r="I328" s="3" t="s">
        <v>702</v>
      </c>
      <c r="J328" s="3" t="s">
        <v>697</v>
      </c>
      <c r="K328" s="3" t="s">
        <v>29</v>
      </c>
      <c r="L328" s="10">
        <v>30</v>
      </c>
      <c r="M328" s="15">
        <v>30</v>
      </c>
      <c r="N328" s="10">
        <v>80</v>
      </c>
      <c r="O328" s="11">
        <v>0</v>
      </c>
      <c r="P328" s="10">
        <v>0</v>
      </c>
      <c r="Q328" s="10">
        <v>0</v>
      </c>
      <c r="R328" s="10">
        <v>20</v>
      </c>
      <c r="S328" s="10">
        <v>3</v>
      </c>
      <c r="T328" s="10">
        <v>5</v>
      </c>
      <c r="U328" s="9">
        <f t="shared" si="36"/>
        <v>30</v>
      </c>
      <c r="V328" s="9" t="str">
        <f t="shared" si="37"/>
        <v/>
      </c>
      <c r="W328" s="9">
        <f t="shared" si="38"/>
        <v>100</v>
      </c>
      <c r="X328" s="9">
        <f t="shared" si="39"/>
        <v>40</v>
      </c>
      <c r="Y328" s="9" t="str">
        <f t="shared" si="40"/>
        <v/>
      </c>
      <c r="Z328" s="9">
        <f t="shared" si="41"/>
        <v>110</v>
      </c>
      <c r="AA328" s="3" t="s">
        <v>714</v>
      </c>
      <c r="AB328" s="3" t="s">
        <v>704</v>
      </c>
    </row>
    <row r="329" spans="1:28" ht="76" customHeight="1">
      <c r="A329" s="6" t="s">
        <v>145</v>
      </c>
      <c r="B329" s="3" t="s">
        <v>187</v>
      </c>
      <c r="C329" s="3" t="s">
        <v>715</v>
      </c>
      <c r="D329" s="13" t="s">
        <v>189</v>
      </c>
      <c r="E329" s="8">
        <v>1</v>
      </c>
      <c r="F329" s="12" t="str">
        <f t="shared" si="35"/>
        <v>135 × 115 × 60</v>
      </c>
      <c r="G329" s="3" t="s">
        <v>716</v>
      </c>
      <c r="H329" s="3" t="s">
        <v>717</v>
      </c>
      <c r="I329" s="3" t="str">
        <f>'Quantity grades'!G119</f>
        <v>6061 aluminum if loading permits; otherwise P20</v>
      </c>
      <c r="J329" s="3" t="s">
        <v>718</v>
      </c>
      <c r="K329" s="3" t="s">
        <v>22</v>
      </c>
      <c r="L329" s="10">
        <v>98</v>
      </c>
      <c r="M329" s="10">
        <v>78</v>
      </c>
      <c r="N329" s="10">
        <v>24</v>
      </c>
      <c r="O329" s="11">
        <v>0</v>
      </c>
      <c r="P329" s="10">
        <v>15</v>
      </c>
      <c r="Q329" s="10">
        <v>15</v>
      </c>
      <c r="R329" s="10">
        <v>30</v>
      </c>
      <c r="S329" s="10">
        <v>3</v>
      </c>
      <c r="T329" s="10">
        <v>5</v>
      </c>
      <c r="U329" s="9">
        <f t="shared" si="36"/>
        <v>128</v>
      </c>
      <c r="V329" s="9">
        <f t="shared" si="37"/>
        <v>108</v>
      </c>
      <c r="W329" s="9">
        <f t="shared" si="38"/>
        <v>54</v>
      </c>
      <c r="X329" s="9">
        <f t="shared" si="39"/>
        <v>135</v>
      </c>
      <c r="Y329" s="9">
        <f t="shared" si="40"/>
        <v>115</v>
      </c>
      <c r="Z329" s="9">
        <f t="shared" si="41"/>
        <v>60</v>
      </c>
      <c r="AA329" s="3" t="s">
        <v>719</v>
      </c>
      <c r="AB329" s="3" t="s">
        <v>720</v>
      </c>
    </row>
    <row r="330" spans="1:28" ht="76" customHeight="1">
      <c r="A330" s="6" t="s">
        <v>145</v>
      </c>
      <c r="B330" s="3" t="s">
        <v>187</v>
      </c>
      <c r="C330" s="3" t="s">
        <v>721</v>
      </c>
      <c r="D330" s="16" t="s">
        <v>722</v>
      </c>
      <c r="E330" s="8">
        <v>1</v>
      </c>
      <c r="F330" s="12" t="str">
        <f t="shared" si="35"/>
        <v>210 × 190 × 35</v>
      </c>
      <c r="G330" s="3" t="s">
        <v>716</v>
      </c>
      <c r="H330" s="3" t="s">
        <v>717</v>
      </c>
      <c r="I330" s="3" t="s">
        <v>723</v>
      </c>
      <c r="J330" s="3" t="s">
        <v>718</v>
      </c>
      <c r="K330" s="3" t="s">
        <v>22</v>
      </c>
      <c r="L330" s="10">
        <v>200</v>
      </c>
      <c r="M330" s="10">
        <v>180</v>
      </c>
      <c r="N330" s="10">
        <v>25</v>
      </c>
      <c r="O330" s="11">
        <v>0</v>
      </c>
      <c r="P330" s="10">
        <v>0</v>
      </c>
      <c r="Q330" s="10">
        <v>0</v>
      </c>
      <c r="R330" s="10">
        <v>0</v>
      </c>
      <c r="S330" s="10">
        <v>3</v>
      </c>
      <c r="T330" s="10">
        <v>5</v>
      </c>
      <c r="U330" s="9">
        <f t="shared" si="36"/>
        <v>200</v>
      </c>
      <c r="V330" s="9">
        <f t="shared" si="37"/>
        <v>180</v>
      </c>
      <c r="W330" s="9">
        <f t="shared" si="38"/>
        <v>25</v>
      </c>
      <c r="X330" s="9">
        <f t="shared" si="39"/>
        <v>210</v>
      </c>
      <c r="Y330" s="9">
        <f t="shared" si="40"/>
        <v>190</v>
      </c>
      <c r="Z330" s="9">
        <f t="shared" si="41"/>
        <v>35</v>
      </c>
      <c r="AA330" s="3" t="s">
        <v>724</v>
      </c>
      <c r="AB330" s="3" t="s">
        <v>725</v>
      </c>
    </row>
    <row r="331" spans="1:28" ht="76" customHeight="1">
      <c r="A331" s="6" t="s">
        <v>145</v>
      </c>
      <c r="B331" s="3" t="s">
        <v>187</v>
      </c>
      <c r="C331" s="3" t="s">
        <v>726</v>
      </c>
      <c r="D331" s="3" t="s">
        <v>727</v>
      </c>
      <c r="E331" s="8">
        <v>1</v>
      </c>
      <c r="F331" s="12" t="s">
        <v>728</v>
      </c>
      <c r="G331" s="3" t="s">
        <v>716</v>
      </c>
      <c r="H331" s="3" t="s">
        <v>717</v>
      </c>
      <c r="I331" s="3" t="s">
        <v>729</v>
      </c>
      <c r="J331" s="3" t="s">
        <v>718</v>
      </c>
      <c r="K331" s="3" t="s">
        <v>152</v>
      </c>
      <c r="L331" s="10">
        <v>0</v>
      </c>
      <c r="M331" s="10">
        <v>0</v>
      </c>
      <c r="N331" s="10">
        <v>0</v>
      </c>
      <c r="O331" s="11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1</v>
      </c>
      <c r="U331" s="9"/>
      <c r="V331" s="9"/>
      <c r="W331" s="9"/>
      <c r="X331" s="9"/>
      <c r="Y331" s="9"/>
      <c r="Z331" s="9"/>
      <c r="AA331" s="3" t="s">
        <v>730</v>
      </c>
      <c r="AB331" s="3" t="s">
        <v>731</v>
      </c>
    </row>
    <row r="332" spans="1:28" ht="76" customHeight="1">
      <c r="A332" s="6" t="s">
        <v>145</v>
      </c>
      <c r="B332" s="3" t="s">
        <v>199</v>
      </c>
      <c r="C332" s="3" t="s">
        <v>715</v>
      </c>
      <c r="D332" s="13" t="s">
        <v>189</v>
      </c>
      <c r="E332" s="8">
        <v>1</v>
      </c>
      <c r="F332" s="12" t="str">
        <f>IF(K332="Round billet","Ø"&amp;X332&amp;" × "&amp;Z332,X332&amp;" × "&amp;Y332&amp;" × "&amp;Z332)</f>
        <v>135 × 115 × 60</v>
      </c>
      <c r="G332" s="3" t="s">
        <v>716</v>
      </c>
      <c r="H332" s="3" t="s">
        <v>717</v>
      </c>
      <c r="I332" s="3" t="str">
        <f>'Quantity grades'!G120</f>
        <v>6061 / P20</v>
      </c>
      <c r="J332" s="3" t="s">
        <v>718</v>
      </c>
      <c r="K332" s="3" t="s">
        <v>22</v>
      </c>
      <c r="L332" s="10">
        <v>98</v>
      </c>
      <c r="M332" s="10">
        <v>78</v>
      </c>
      <c r="N332" s="10">
        <v>24</v>
      </c>
      <c r="O332" s="11">
        <v>0</v>
      </c>
      <c r="P332" s="10">
        <v>15</v>
      </c>
      <c r="Q332" s="10">
        <v>15</v>
      </c>
      <c r="R332" s="10">
        <v>30</v>
      </c>
      <c r="S332" s="10">
        <v>3</v>
      </c>
      <c r="T332" s="10">
        <v>5</v>
      </c>
      <c r="U332" s="9">
        <f>L332*(1+O332)+2*P332</f>
        <v>128</v>
      </c>
      <c r="V332" s="9">
        <f>IF(K332="Round billet","",M332*(1+O332)+2*Q332)</f>
        <v>108</v>
      </c>
      <c r="W332" s="9">
        <f>N332*(1+O332)+R332</f>
        <v>54</v>
      </c>
      <c r="X332" s="9">
        <f>ROUNDUP((U332+2*S332)/T332,0)*T332</f>
        <v>135</v>
      </c>
      <c r="Y332" s="9">
        <f>IF(K332="Round billet","",ROUNDUP((V332+2*S332)/T332,0)*T332)</f>
        <v>115</v>
      </c>
      <c r="Z332" s="9">
        <f>ROUNDUP((W332+2*S332)/T332,0)*T332</f>
        <v>60</v>
      </c>
      <c r="AA332" s="3" t="s">
        <v>732</v>
      </c>
      <c r="AB332" s="3" t="s">
        <v>720</v>
      </c>
    </row>
    <row r="333" spans="1:28" ht="76" customHeight="1">
      <c r="A333" s="6" t="s">
        <v>145</v>
      </c>
      <c r="B333" s="3" t="s">
        <v>199</v>
      </c>
      <c r="C333" s="3" t="s">
        <v>721</v>
      </c>
      <c r="D333" s="16" t="s">
        <v>722</v>
      </c>
      <c r="E333" s="8">
        <v>1</v>
      </c>
      <c r="F333" s="12" t="str">
        <f>IF(K333="Round billet","Ø"&amp;X333&amp;" × "&amp;Z333,X333&amp;" × "&amp;Y333&amp;" × "&amp;Z333)</f>
        <v>210 × 190 × 35</v>
      </c>
      <c r="G333" s="3" t="s">
        <v>716</v>
      </c>
      <c r="H333" s="3" t="s">
        <v>717</v>
      </c>
      <c r="I333" s="3" t="s">
        <v>723</v>
      </c>
      <c r="J333" s="3" t="s">
        <v>718</v>
      </c>
      <c r="K333" s="3" t="s">
        <v>22</v>
      </c>
      <c r="L333" s="10">
        <v>200</v>
      </c>
      <c r="M333" s="10">
        <v>180</v>
      </c>
      <c r="N333" s="10">
        <v>25</v>
      </c>
      <c r="O333" s="11">
        <v>0</v>
      </c>
      <c r="P333" s="10">
        <v>0</v>
      </c>
      <c r="Q333" s="10">
        <v>0</v>
      </c>
      <c r="R333" s="10">
        <v>0</v>
      </c>
      <c r="S333" s="10">
        <v>3</v>
      </c>
      <c r="T333" s="10">
        <v>5</v>
      </c>
      <c r="U333" s="9">
        <f>L333*(1+O333)+2*P333</f>
        <v>200</v>
      </c>
      <c r="V333" s="9">
        <f>IF(K333="Round billet","",M333*(1+O333)+2*Q333)</f>
        <v>180</v>
      </c>
      <c r="W333" s="9">
        <f>N333*(1+O333)+R333</f>
        <v>25</v>
      </c>
      <c r="X333" s="9">
        <f>ROUNDUP((U333+2*S333)/T333,0)*T333</f>
        <v>210</v>
      </c>
      <c r="Y333" s="9">
        <f>IF(K333="Round billet","",ROUNDUP((V333+2*S333)/T333,0)*T333)</f>
        <v>190</v>
      </c>
      <c r="Z333" s="9">
        <f>ROUNDUP((W333+2*S333)/T333,0)*T333</f>
        <v>35</v>
      </c>
      <c r="AA333" s="3" t="s">
        <v>733</v>
      </c>
      <c r="AB333" s="3" t="s">
        <v>725</v>
      </c>
    </row>
    <row r="334" spans="1:28" ht="76" customHeight="1">
      <c r="A334" s="6" t="s">
        <v>145</v>
      </c>
      <c r="B334" s="3" t="s">
        <v>199</v>
      </c>
      <c r="C334" s="3" t="s">
        <v>726</v>
      </c>
      <c r="D334" s="3" t="s">
        <v>727</v>
      </c>
      <c r="E334" s="8">
        <v>1</v>
      </c>
      <c r="F334" s="12" t="s">
        <v>728</v>
      </c>
      <c r="G334" s="3" t="s">
        <v>716</v>
      </c>
      <c r="H334" s="3" t="s">
        <v>717</v>
      </c>
      <c r="I334" s="3" t="s">
        <v>729</v>
      </c>
      <c r="J334" s="3" t="s">
        <v>718</v>
      </c>
      <c r="K334" s="3" t="s">
        <v>152</v>
      </c>
      <c r="L334" s="10">
        <v>0</v>
      </c>
      <c r="M334" s="10">
        <v>0</v>
      </c>
      <c r="N334" s="10">
        <v>0</v>
      </c>
      <c r="O334" s="11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</v>
      </c>
      <c r="U334" s="9"/>
      <c r="V334" s="9"/>
      <c r="W334" s="9"/>
      <c r="X334" s="9"/>
      <c r="Y334" s="9"/>
      <c r="Z334" s="9"/>
      <c r="AA334" s="3" t="s">
        <v>734</v>
      </c>
      <c r="AB334" s="3" t="s">
        <v>731</v>
      </c>
    </row>
    <row r="335" spans="1:28" ht="76" customHeight="1">
      <c r="A335" s="6" t="s">
        <v>145</v>
      </c>
      <c r="B335" s="3" t="s">
        <v>202</v>
      </c>
      <c r="C335" s="3" t="s">
        <v>715</v>
      </c>
      <c r="D335" s="13" t="s">
        <v>189</v>
      </c>
      <c r="E335" s="8">
        <v>1</v>
      </c>
      <c r="F335" s="12" t="str">
        <f>IF(K335="Round billet","Ø"&amp;X335&amp;" × "&amp;Z335,X335&amp;" × "&amp;Y335&amp;" × "&amp;Z335)</f>
        <v>135 × 115 × 60</v>
      </c>
      <c r="G335" s="3" t="s">
        <v>716</v>
      </c>
      <c r="H335" s="3" t="s">
        <v>717</v>
      </c>
      <c r="I335" s="3" t="str">
        <f>'Quantity grades'!G121</f>
        <v>Aluminum / P20 / 4140</v>
      </c>
      <c r="J335" s="3" t="s">
        <v>718</v>
      </c>
      <c r="K335" s="3" t="s">
        <v>22</v>
      </c>
      <c r="L335" s="10">
        <v>98</v>
      </c>
      <c r="M335" s="10">
        <v>78</v>
      </c>
      <c r="N335" s="10">
        <v>24</v>
      </c>
      <c r="O335" s="11">
        <v>0</v>
      </c>
      <c r="P335" s="10">
        <v>15</v>
      </c>
      <c r="Q335" s="10">
        <v>15</v>
      </c>
      <c r="R335" s="10">
        <v>30</v>
      </c>
      <c r="S335" s="10">
        <v>3</v>
      </c>
      <c r="T335" s="10">
        <v>5</v>
      </c>
      <c r="U335" s="9">
        <f>L335*(1+O335)+2*P335</f>
        <v>128</v>
      </c>
      <c r="V335" s="9">
        <f>IF(K335="Round billet","",M335*(1+O335)+2*Q335)</f>
        <v>108</v>
      </c>
      <c r="W335" s="9">
        <f>N335*(1+O335)+R335</f>
        <v>54</v>
      </c>
      <c r="X335" s="9">
        <f>ROUNDUP((U335+2*S335)/T335,0)*T335</f>
        <v>135</v>
      </c>
      <c r="Y335" s="9">
        <f>IF(K335="Round billet","",ROUNDUP((V335+2*S335)/T335,0)*T335)</f>
        <v>115</v>
      </c>
      <c r="Z335" s="9">
        <f>ROUNDUP((W335+2*S335)/T335,0)*T335</f>
        <v>60</v>
      </c>
      <c r="AA335" s="3" t="s">
        <v>735</v>
      </c>
      <c r="AB335" s="3" t="s">
        <v>720</v>
      </c>
    </row>
    <row r="336" spans="1:28" ht="76" customHeight="1">
      <c r="A336" s="6" t="s">
        <v>145</v>
      </c>
      <c r="B336" s="3" t="s">
        <v>202</v>
      </c>
      <c r="C336" s="3" t="s">
        <v>721</v>
      </c>
      <c r="D336" s="16" t="s">
        <v>722</v>
      </c>
      <c r="E336" s="8">
        <v>1</v>
      </c>
      <c r="F336" s="12" t="str">
        <f>IF(K336="Round billet","Ø"&amp;X336&amp;" × "&amp;Z336,X336&amp;" × "&amp;Y336&amp;" × "&amp;Z336)</f>
        <v>210 × 190 × 35</v>
      </c>
      <c r="G336" s="3" t="s">
        <v>716</v>
      </c>
      <c r="H336" s="3" t="s">
        <v>717</v>
      </c>
      <c r="I336" s="3" t="s">
        <v>723</v>
      </c>
      <c r="J336" s="3" t="s">
        <v>718</v>
      </c>
      <c r="K336" s="3" t="s">
        <v>22</v>
      </c>
      <c r="L336" s="10">
        <v>200</v>
      </c>
      <c r="M336" s="10">
        <v>180</v>
      </c>
      <c r="N336" s="10">
        <v>25</v>
      </c>
      <c r="O336" s="11">
        <v>0</v>
      </c>
      <c r="P336" s="10">
        <v>0</v>
      </c>
      <c r="Q336" s="10">
        <v>0</v>
      </c>
      <c r="R336" s="10">
        <v>0</v>
      </c>
      <c r="S336" s="10">
        <v>3</v>
      </c>
      <c r="T336" s="10">
        <v>5</v>
      </c>
      <c r="U336" s="9">
        <f>L336*(1+O336)+2*P336</f>
        <v>200</v>
      </c>
      <c r="V336" s="9">
        <f>IF(K336="Round billet","",M336*(1+O336)+2*Q336)</f>
        <v>180</v>
      </c>
      <c r="W336" s="9">
        <f>N336*(1+O336)+R336</f>
        <v>25</v>
      </c>
      <c r="X336" s="9">
        <f>ROUNDUP((U336+2*S336)/T336,0)*T336</f>
        <v>210</v>
      </c>
      <c r="Y336" s="9">
        <f>IF(K336="Round billet","",ROUNDUP((V336+2*S336)/T336,0)*T336)</f>
        <v>190</v>
      </c>
      <c r="Z336" s="9">
        <f>ROUNDUP((W336+2*S336)/T336,0)*T336</f>
        <v>35</v>
      </c>
      <c r="AA336" s="3" t="s">
        <v>736</v>
      </c>
      <c r="AB336" s="3" t="s">
        <v>725</v>
      </c>
    </row>
    <row r="337" spans="1:28" ht="76" customHeight="1">
      <c r="A337" s="6" t="s">
        <v>145</v>
      </c>
      <c r="B337" s="3" t="s">
        <v>202</v>
      </c>
      <c r="C337" s="3" t="s">
        <v>726</v>
      </c>
      <c r="D337" s="3" t="s">
        <v>727</v>
      </c>
      <c r="E337" s="8">
        <v>1</v>
      </c>
      <c r="F337" s="12" t="s">
        <v>728</v>
      </c>
      <c r="G337" s="3" t="s">
        <v>716</v>
      </c>
      <c r="H337" s="3" t="s">
        <v>717</v>
      </c>
      <c r="I337" s="3" t="s">
        <v>729</v>
      </c>
      <c r="J337" s="3" t="s">
        <v>718</v>
      </c>
      <c r="K337" s="3" t="s">
        <v>152</v>
      </c>
      <c r="L337" s="10">
        <v>0</v>
      </c>
      <c r="M337" s="10">
        <v>0</v>
      </c>
      <c r="N337" s="10">
        <v>0</v>
      </c>
      <c r="O337" s="11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</v>
      </c>
      <c r="U337" s="9"/>
      <c r="V337" s="9"/>
      <c r="W337" s="9"/>
      <c r="X337" s="9"/>
      <c r="Y337" s="9"/>
      <c r="Z337" s="9"/>
      <c r="AA337" s="3" t="s">
        <v>737</v>
      </c>
      <c r="AB337" s="3" t="s">
        <v>731</v>
      </c>
    </row>
    <row r="338" spans="1:28" ht="76" customHeight="1">
      <c r="A338" s="6" t="s">
        <v>145</v>
      </c>
      <c r="B338" s="3" t="s">
        <v>205</v>
      </c>
      <c r="C338" s="3" t="s">
        <v>715</v>
      </c>
      <c r="D338" s="13" t="s">
        <v>189</v>
      </c>
      <c r="E338" s="8">
        <v>1</v>
      </c>
      <c r="F338" s="12" t="str">
        <f>IF(K338="Round billet","Ø"&amp;X338&amp;" × "&amp;Z338,X338&amp;" × "&amp;Y338&amp;" × "&amp;Z338)</f>
        <v>135 × 115 × 60</v>
      </c>
      <c r="G338" s="3" t="s">
        <v>716</v>
      </c>
      <c r="H338" s="3" t="s">
        <v>717</v>
      </c>
      <c r="I338" s="3" t="str">
        <f>'Quantity grades'!G122</f>
        <v>P20 / 4140 with hard inserts</v>
      </c>
      <c r="J338" s="3" t="s">
        <v>718</v>
      </c>
      <c r="K338" s="3" t="s">
        <v>22</v>
      </c>
      <c r="L338" s="10">
        <v>98</v>
      </c>
      <c r="M338" s="10">
        <v>78</v>
      </c>
      <c r="N338" s="10">
        <v>24</v>
      </c>
      <c r="O338" s="11">
        <v>0</v>
      </c>
      <c r="P338" s="10">
        <v>15</v>
      </c>
      <c r="Q338" s="10">
        <v>15</v>
      </c>
      <c r="R338" s="10">
        <v>30</v>
      </c>
      <c r="S338" s="10">
        <v>3</v>
      </c>
      <c r="T338" s="10">
        <v>5</v>
      </c>
      <c r="U338" s="9">
        <f>L338*(1+O338)+2*P338</f>
        <v>128</v>
      </c>
      <c r="V338" s="9">
        <f>IF(K338="Round billet","",M338*(1+O338)+2*Q338)</f>
        <v>108</v>
      </c>
      <c r="W338" s="9">
        <f>N338*(1+O338)+R338</f>
        <v>54</v>
      </c>
      <c r="X338" s="9">
        <f>ROUNDUP((U338+2*S338)/T338,0)*T338</f>
        <v>135</v>
      </c>
      <c r="Y338" s="9">
        <f>IF(K338="Round billet","",ROUNDUP((V338+2*S338)/T338,0)*T338)</f>
        <v>115</v>
      </c>
      <c r="Z338" s="9">
        <f>ROUNDUP((W338+2*S338)/T338,0)*T338</f>
        <v>60</v>
      </c>
      <c r="AA338" s="3" t="s">
        <v>738</v>
      </c>
      <c r="AB338" s="3" t="s">
        <v>720</v>
      </c>
    </row>
    <row r="339" spans="1:28" ht="76" customHeight="1">
      <c r="A339" s="6" t="s">
        <v>145</v>
      </c>
      <c r="B339" s="3" t="s">
        <v>205</v>
      </c>
      <c r="C339" s="3" t="s">
        <v>721</v>
      </c>
      <c r="D339" s="16" t="s">
        <v>722</v>
      </c>
      <c r="E339" s="8">
        <v>1</v>
      </c>
      <c r="F339" s="12" t="str">
        <f>IF(K339="Round billet","Ø"&amp;X339&amp;" × "&amp;Z339,X339&amp;" × "&amp;Y339&amp;" × "&amp;Z339)</f>
        <v>210 × 190 × 35</v>
      </c>
      <c r="G339" s="3" t="s">
        <v>716</v>
      </c>
      <c r="H339" s="3" t="s">
        <v>717</v>
      </c>
      <c r="I339" s="3" t="s">
        <v>723</v>
      </c>
      <c r="J339" s="3" t="s">
        <v>718</v>
      </c>
      <c r="K339" s="3" t="s">
        <v>22</v>
      </c>
      <c r="L339" s="10">
        <v>200</v>
      </c>
      <c r="M339" s="10">
        <v>180</v>
      </c>
      <c r="N339" s="10">
        <v>25</v>
      </c>
      <c r="O339" s="11">
        <v>0</v>
      </c>
      <c r="P339" s="10">
        <v>0</v>
      </c>
      <c r="Q339" s="10">
        <v>0</v>
      </c>
      <c r="R339" s="10">
        <v>0</v>
      </c>
      <c r="S339" s="10">
        <v>3</v>
      </c>
      <c r="T339" s="10">
        <v>5</v>
      </c>
      <c r="U339" s="9">
        <f>L339*(1+O339)+2*P339</f>
        <v>200</v>
      </c>
      <c r="V339" s="9">
        <f>IF(K339="Round billet","",M339*(1+O339)+2*Q339)</f>
        <v>180</v>
      </c>
      <c r="W339" s="9">
        <f>N339*(1+O339)+R339</f>
        <v>25</v>
      </c>
      <c r="X339" s="9">
        <f>ROUNDUP((U339+2*S339)/T339,0)*T339</f>
        <v>210</v>
      </c>
      <c r="Y339" s="9">
        <f>IF(K339="Round billet","",ROUNDUP((V339+2*S339)/T339,0)*T339)</f>
        <v>190</v>
      </c>
      <c r="Z339" s="9">
        <f>ROUNDUP((W339+2*S339)/T339,0)*T339</f>
        <v>35</v>
      </c>
      <c r="AA339" s="3" t="s">
        <v>739</v>
      </c>
      <c r="AB339" s="3" t="s">
        <v>725</v>
      </c>
    </row>
    <row r="340" spans="1:28" ht="76" customHeight="1">
      <c r="A340" s="6" t="s">
        <v>145</v>
      </c>
      <c r="B340" s="3" t="s">
        <v>205</v>
      </c>
      <c r="C340" s="3" t="s">
        <v>726</v>
      </c>
      <c r="D340" s="3" t="s">
        <v>727</v>
      </c>
      <c r="E340" s="8">
        <v>1</v>
      </c>
      <c r="F340" s="12" t="s">
        <v>728</v>
      </c>
      <c r="G340" s="3" t="s">
        <v>716</v>
      </c>
      <c r="H340" s="3" t="s">
        <v>717</v>
      </c>
      <c r="I340" s="3" t="s">
        <v>729</v>
      </c>
      <c r="J340" s="3" t="s">
        <v>718</v>
      </c>
      <c r="K340" s="3" t="s">
        <v>152</v>
      </c>
      <c r="L340" s="10">
        <v>0</v>
      </c>
      <c r="M340" s="10">
        <v>0</v>
      </c>
      <c r="N340" s="10">
        <v>0</v>
      </c>
      <c r="O340" s="11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1</v>
      </c>
      <c r="U340" s="9"/>
      <c r="V340" s="9"/>
      <c r="W340" s="9"/>
      <c r="X340" s="9"/>
      <c r="Y340" s="9"/>
      <c r="Z340" s="9"/>
      <c r="AA340" s="3" t="s">
        <v>740</v>
      </c>
      <c r="AB340" s="3" t="s">
        <v>731</v>
      </c>
    </row>
    <row r="341" spans="1:28" ht="76" customHeight="1">
      <c r="A341" s="6" t="s">
        <v>145</v>
      </c>
      <c r="B341" s="3" t="s">
        <v>208</v>
      </c>
      <c r="C341" s="3" t="s">
        <v>715</v>
      </c>
      <c r="D341" s="13" t="s">
        <v>189</v>
      </c>
      <c r="E341" s="8">
        <v>1</v>
      </c>
      <c r="F341" s="12" t="str">
        <f>IF(K341="Round billet","Ø"&amp;X341&amp;" × "&amp;Z341,X341&amp;" × "&amp;Y341&amp;" × "&amp;Z341)</f>
        <v>135 × 115 × 60</v>
      </c>
      <c r="G341" s="3" t="s">
        <v>716</v>
      </c>
      <c r="H341" s="3" t="s">
        <v>717</v>
      </c>
      <c r="I341" s="3" t="str">
        <f>'Quantity grades'!G123</f>
        <v>Steel body; A2 / cold-work-steel inserts</v>
      </c>
      <c r="J341" s="3" t="s">
        <v>718</v>
      </c>
      <c r="K341" s="3" t="s">
        <v>22</v>
      </c>
      <c r="L341" s="10">
        <v>98</v>
      </c>
      <c r="M341" s="10">
        <v>78</v>
      </c>
      <c r="N341" s="10">
        <v>24</v>
      </c>
      <c r="O341" s="11">
        <v>0</v>
      </c>
      <c r="P341" s="10">
        <v>15</v>
      </c>
      <c r="Q341" s="10">
        <v>15</v>
      </c>
      <c r="R341" s="10">
        <v>30</v>
      </c>
      <c r="S341" s="10">
        <v>3</v>
      </c>
      <c r="T341" s="10">
        <v>5</v>
      </c>
      <c r="U341" s="9">
        <f>L341*(1+O341)+2*P341</f>
        <v>128</v>
      </c>
      <c r="V341" s="9">
        <f>IF(K341="Round billet","",M341*(1+O341)+2*Q341)</f>
        <v>108</v>
      </c>
      <c r="W341" s="9">
        <f>N341*(1+O341)+R341</f>
        <v>54</v>
      </c>
      <c r="X341" s="9">
        <f>ROUNDUP((U341+2*S341)/T341,0)*T341</f>
        <v>135</v>
      </c>
      <c r="Y341" s="9">
        <f>IF(K341="Round billet","",ROUNDUP((V341+2*S341)/T341,0)*T341)</f>
        <v>115</v>
      </c>
      <c r="Z341" s="9">
        <f>ROUNDUP((W341+2*S341)/T341,0)*T341</f>
        <v>60</v>
      </c>
      <c r="AA341" s="3" t="s">
        <v>741</v>
      </c>
      <c r="AB341" s="3" t="s">
        <v>720</v>
      </c>
    </row>
    <row r="342" spans="1:28" ht="76" customHeight="1">
      <c r="A342" s="6" t="s">
        <v>145</v>
      </c>
      <c r="B342" s="3" t="s">
        <v>208</v>
      </c>
      <c r="C342" s="3" t="s">
        <v>721</v>
      </c>
      <c r="D342" s="16" t="s">
        <v>722</v>
      </c>
      <c r="E342" s="8">
        <v>1</v>
      </c>
      <c r="F342" s="12" t="str">
        <f>IF(K342="Round billet","Ø"&amp;X342&amp;" × "&amp;Z342,X342&amp;" × "&amp;Y342&amp;" × "&amp;Z342)</f>
        <v>210 × 190 × 35</v>
      </c>
      <c r="G342" s="3" t="s">
        <v>716</v>
      </c>
      <c r="H342" s="3" t="s">
        <v>717</v>
      </c>
      <c r="I342" s="3" t="s">
        <v>723</v>
      </c>
      <c r="J342" s="3" t="s">
        <v>718</v>
      </c>
      <c r="K342" s="3" t="s">
        <v>22</v>
      </c>
      <c r="L342" s="10">
        <v>200</v>
      </c>
      <c r="M342" s="10">
        <v>180</v>
      </c>
      <c r="N342" s="10">
        <v>25</v>
      </c>
      <c r="O342" s="11">
        <v>0</v>
      </c>
      <c r="P342" s="10">
        <v>0</v>
      </c>
      <c r="Q342" s="10">
        <v>0</v>
      </c>
      <c r="R342" s="10">
        <v>0</v>
      </c>
      <c r="S342" s="10">
        <v>3</v>
      </c>
      <c r="T342" s="10">
        <v>5</v>
      </c>
      <c r="U342" s="9">
        <f>L342*(1+O342)+2*P342</f>
        <v>200</v>
      </c>
      <c r="V342" s="9">
        <f>IF(K342="Round billet","",M342*(1+O342)+2*Q342)</f>
        <v>180</v>
      </c>
      <c r="W342" s="9">
        <f>N342*(1+O342)+R342</f>
        <v>25</v>
      </c>
      <c r="X342" s="9">
        <f>ROUNDUP((U342+2*S342)/T342,0)*T342</f>
        <v>210</v>
      </c>
      <c r="Y342" s="9">
        <f>IF(K342="Round billet","",ROUNDUP((V342+2*S342)/T342,0)*T342)</f>
        <v>190</v>
      </c>
      <c r="Z342" s="9">
        <f>ROUNDUP((W342+2*S342)/T342,0)*T342</f>
        <v>35</v>
      </c>
      <c r="AA342" s="3" t="s">
        <v>742</v>
      </c>
      <c r="AB342" s="3" t="s">
        <v>725</v>
      </c>
    </row>
    <row r="343" spans="1:28" ht="76" customHeight="1">
      <c r="A343" s="6" t="s">
        <v>145</v>
      </c>
      <c r="B343" s="3" t="s">
        <v>208</v>
      </c>
      <c r="C343" s="3" t="s">
        <v>726</v>
      </c>
      <c r="D343" s="3" t="s">
        <v>727</v>
      </c>
      <c r="E343" s="8">
        <v>1</v>
      </c>
      <c r="F343" s="12" t="s">
        <v>728</v>
      </c>
      <c r="G343" s="3" t="s">
        <v>716</v>
      </c>
      <c r="H343" s="3" t="s">
        <v>717</v>
      </c>
      <c r="I343" s="3" t="s">
        <v>729</v>
      </c>
      <c r="J343" s="3" t="s">
        <v>718</v>
      </c>
      <c r="K343" s="3" t="s">
        <v>152</v>
      </c>
      <c r="L343" s="10">
        <v>0</v>
      </c>
      <c r="M343" s="10">
        <v>0</v>
      </c>
      <c r="N343" s="10">
        <v>0</v>
      </c>
      <c r="O343" s="11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1</v>
      </c>
      <c r="U343" s="9"/>
      <c r="V343" s="9"/>
      <c r="W343" s="9"/>
      <c r="X343" s="9"/>
      <c r="Y343" s="9"/>
      <c r="Z343" s="9"/>
      <c r="AA343" s="3" t="s">
        <v>743</v>
      </c>
      <c r="AB343" s="3" t="s">
        <v>731</v>
      </c>
    </row>
    <row r="344" spans="1:28" ht="76" customHeight="1">
      <c r="A344" s="6" t="s">
        <v>145</v>
      </c>
      <c r="B344" s="3" t="s">
        <v>211</v>
      </c>
      <c r="C344" s="3" t="s">
        <v>715</v>
      </c>
      <c r="D344" s="13" t="s">
        <v>189</v>
      </c>
      <c r="E344" s="8">
        <v>1</v>
      </c>
      <c r="F344" s="12" t="str">
        <f>IF(K344="Round billet","Ø"&amp;X344&amp;" × "&amp;Z344,X344&amp;" × "&amp;Y344&amp;" × "&amp;Z344)</f>
        <v>135 × 115 × 60</v>
      </c>
      <c r="G344" s="3" t="s">
        <v>716</v>
      </c>
      <c r="H344" s="3" t="s">
        <v>717</v>
      </c>
      <c r="I344" s="3" t="str">
        <f>'Quantity grades'!G124</f>
        <v>A2 / suitable premium tool steel at wear zones</v>
      </c>
      <c r="J344" s="3" t="s">
        <v>718</v>
      </c>
      <c r="K344" s="3" t="s">
        <v>22</v>
      </c>
      <c r="L344" s="10">
        <v>98</v>
      </c>
      <c r="M344" s="10">
        <v>78</v>
      </c>
      <c r="N344" s="10">
        <v>24</v>
      </c>
      <c r="O344" s="11">
        <v>0</v>
      </c>
      <c r="P344" s="10">
        <v>15</v>
      </c>
      <c r="Q344" s="10">
        <v>15</v>
      </c>
      <c r="R344" s="10">
        <v>30</v>
      </c>
      <c r="S344" s="10">
        <v>3</v>
      </c>
      <c r="T344" s="10">
        <v>5</v>
      </c>
      <c r="U344" s="9">
        <f>L344*(1+O344)+2*P344</f>
        <v>128</v>
      </c>
      <c r="V344" s="9">
        <f>IF(K344="Round billet","",M344*(1+O344)+2*Q344)</f>
        <v>108</v>
      </c>
      <c r="W344" s="9">
        <f>N344*(1+O344)+R344</f>
        <v>54</v>
      </c>
      <c r="X344" s="9">
        <f>ROUNDUP((U344+2*S344)/T344,0)*T344</f>
        <v>135</v>
      </c>
      <c r="Y344" s="9">
        <f>IF(K344="Round billet","",ROUNDUP((V344+2*S344)/T344,0)*T344)</f>
        <v>115</v>
      </c>
      <c r="Z344" s="9">
        <f>ROUNDUP((W344+2*S344)/T344,0)*T344</f>
        <v>60</v>
      </c>
      <c r="AA344" s="3" t="s">
        <v>744</v>
      </c>
      <c r="AB344" s="3" t="s">
        <v>720</v>
      </c>
    </row>
    <row r="345" spans="1:28" ht="76" customHeight="1">
      <c r="A345" s="6" t="s">
        <v>145</v>
      </c>
      <c r="B345" s="3" t="s">
        <v>211</v>
      </c>
      <c r="C345" s="3" t="s">
        <v>721</v>
      </c>
      <c r="D345" s="16" t="s">
        <v>722</v>
      </c>
      <c r="E345" s="8">
        <v>1</v>
      </c>
      <c r="F345" s="12" t="str">
        <f>IF(K345="Round billet","Ø"&amp;X345&amp;" × "&amp;Z345,X345&amp;" × "&amp;Y345&amp;" × "&amp;Z345)</f>
        <v>210 × 190 × 35</v>
      </c>
      <c r="G345" s="3" t="s">
        <v>716</v>
      </c>
      <c r="H345" s="3" t="s">
        <v>717</v>
      </c>
      <c r="I345" s="3" t="s">
        <v>723</v>
      </c>
      <c r="J345" s="3" t="s">
        <v>718</v>
      </c>
      <c r="K345" s="3" t="s">
        <v>22</v>
      </c>
      <c r="L345" s="10">
        <v>200</v>
      </c>
      <c r="M345" s="10">
        <v>180</v>
      </c>
      <c r="N345" s="10">
        <v>25</v>
      </c>
      <c r="O345" s="11">
        <v>0</v>
      </c>
      <c r="P345" s="10">
        <v>0</v>
      </c>
      <c r="Q345" s="10">
        <v>0</v>
      </c>
      <c r="R345" s="10">
        <v>0</v>
      </c>
      <c r="S345" s="10">
        <v>3</v>
      </c>
      <c r="T345" s="10">
        <v>5</v>
      </c>
      <c r="U345" s="9">
        <f>L345*(1+O345)+2*P345</f>
        <v>200</v>
      </c>
      <c r="V345" s="9">
        <f>IF(K345="Round billet","",M345*(1+O345)+2*Q345)</f>
        <v>180</v>
      </c>
      <c r="W345" s="9">
        <f>N345*(1+O345)+R345</f>
        <v>25</v>
      </c>
      <c r="X345" s="9">
        <f>ROUNDUP((U345+2*S345)/T345,0)*T345</f>
        <v>210</v>
      </c>
      <c r="Y345" s="9">
        <f>IF(K345="Round billet","",ROUNDUP((V345+2*S345)/T345,0)*T345)</f>
        <v>190</v>
      </c>
      <c r="Z345" s="9">
        <f>ROUNDUP((W345+2*S345)/T345,0)*T345</f>
        <v>35</v>
      </c>
      <c r="AA345" s="3" t="s">
        <v>745</v>
      </c>
      <c r="AB345" s="3" t="s">
        <v>725</v>
      </c>
    </row>
    <row r="346" spans="1:28" ht="76" customHeight="1">
      <c r="A346" s="6" t="s">
        <v>145</v>
      </c>
      <c r="B346" s="3" t="s">
        <v>211</v>
      </c>
      <c r="C346" s="3" t="s">
        <v>726</v>
      </c>
      <c r="D346" s="3" t="s">
        <v>727</v>
      </c>
      <c r="E346" s="8">
        <v>1</v>
      </c>
      <c r="F346" s="12" t="s">
        <v>728</v>
      </c>
      <c r="G346" s="3" t="s">
        <v>716</v>
      </c>
      <c r="H346" s="3" t="s">
        <v>717</v>
      </c>
      <c r="I346" s="3" t="s">
        <v>729</v>
      </c>
      <c r="J346" s="3" t="s">
        <v>718</v>
      </c>
      <c r="K346" s="3" t="s">
        <v>152</v>
      </c>
      <c r="L346" s="10">
        <v>0</v>
      </c>
      <c r="M346" s="10">
        <v>0</v>
      </c>
      <c r="N346" s="10">
        <v>0</v>
      </c>
      <c r="O346" s="11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1</v>
      </c>
      <c r="U346" s="9"/>
      <c r="V346" s="9"/>
      <c r="W346" s="9"/>
      <c r="X346" s="9"/>
      <c r="Y346" s="9"/>
      <c r="Z346" s="9"/>
      <c r="AA346" s="3" t="s">
        <v>746</v>
      </c>
      <c r="AB346" s="3" t="s">
        <v>731</v>
      </c>
    </row>
    <row r="347" spans="1:28" ht="76" customHeight="1">
      <c r="A347" s="6" t="s">
        <v>153</v>
      </c>
      <c r="B347" s="3" t="s">
        <v>187</v>
      </c>
      <c r="C347" s="3" t="s">
        <v>747</v>
      </c>
      <c r="D347" s="13" t="s">
        <v>189</v>
      </c>
      <c r="E347" s="8">
        <v>1</v>
      </c>
      <c r="F347" s="12" t="str">
        <f t="shared" ref="F347:F358" si="42">IF(K347="Round billet","Ø"&amp;X347&amp;" × "&amp;Z347,X347&amp;" × "&amp;Y347&amp;" × "&amp;Z347)</f>
        <v>Ø105 × 105</v>
      </c>
      <c r="G347" s="3" t="s">
        <v>748</v>
      </c>
      <c r="H347" s="3" t="s">
        <v>749</v>
      </c>
      <c r="I347" s="3" t="s">
        <v>750</v>
      </c>
      <c r="J347" s="3" t="s">
        <v>751</v>
      </c>
      <c r="K347" s="3" t="s">
        <v>29</v>
      </c>
      <c r="L347" s="10">
        <v>97</v>
      </c>
      <c r="M347" s="15">
        <v>97</v>
      </c>
      <c r="N347" s="10">
        <v>48.5</v>
      </c>
      <c r="O347" s="11">
        <v>0</v>
      </c>
      <c r="P347" s="10">
        <v>0</v>
      </c>
      <c r="Q347" s="10">
        <v>0</v>
      </c>
      <c r="R347" s="10">
        <v>50</v>
      </c>
      <c r="S347" s="10">
        <v>3</v>
      </c>
      <c r="T347" s="10">
        <v>5</v>
      </c>
      <c r="U347" s="9">
        <f t="shared" ref="U347:U358" si="43">L347*(1+O347)+2*P347</f>
        <v>97</v>
      </c>
      <c r="V347" s="9" t="str">
        <f t="shared" ref="V347:V358" si="44">IF(K347="Round billet","",M347*(1+O347)+2*Q347)</f>
        <v/>
      </c>
      <c r="W347" s="9">
        <f t="shared" ref="W347:W358" si="45">N347*(1+O347)+R347</f>
        <v>98.5</v>
      </c>
      <c r="X347" s="9">
        <f t="shared" ref="X347:X358" si="46">ROUNDUP((U347+2*S347)/T347,0)*T347</f>
        <v>105</v>
      </c>
      <c r="Y347" s="9" t="str">
        <f t="shared" ref="Y347:Y358" si="47">IF(K347="Round billet","",ROUNDUP((V347+2*S347)/T347,0)*T347)</f>
        <v/>
      </c>
      <c r="Z347" s="9">
        <f t="shared" ref="Z347:Z358" si="48">ROUNDUP((W347+2*S347)/T347,0)*T347</f>
        <v>105</v>
      </c>
      <c r="AA347" s="3" t="s">
        <v>752</v>
      </c>
      <c r="AB347" s="3" t="s">
        <v>753</v>
      </c>
    </row>
    <row r="348" spans="1:28" ht="76" customHeight="1">
      <c r="A348" s="6" t="s">
        <v>153</v>
      </c>
      <c r="B348" s="3" t="s">
        <v>187</v>
      </c>
      <c r="C348" s="3" t="s">
        <v>754</v>
      </c>
      <c r="D348" s="16" t="s">
        <v>755</v>
      </c>
      <c r="E348" s="8">
        <v>1</v>
      </c>
      <c r="F348" s="12" t="str">
        <f t="shared" si="42"/>
        <v>Ø90 × 35</v>
      </c>
      <c r="G348" s="3" t="s">
        <v>748</v>
      </c>
      <c r="H348" s="3" t="s">
        <v>749</v>
      </c>
      <c r="I348" s="3" t="s">
        <v>756</v>
      </c>
      <c r="J348" s="3" t="s">
        <v>751</v>
      </c>
      <c r="K348" s="3" t="s">
        <v>29</v>
      </c>
      <c r="L348" s="10">
        <v>80</v>
      </c>
      <c r="M348" s="15">
        <v>80</v>
      </c>
      <c r="N348" s="10">
        <v>25</v>
      </c>
      <c r="O348" s="11">
        <v>0</v>
      </c>
      <c r="P348" s="10">
        <v>0</v>
      </c>
      <c r="Q348" s="10">
        <v>0</v>
      </c>
      <c r="R348" s="10">
        <v>0</v>
      </c>
      <c r="S348" s="10">
        <v>3</v>
      </c>
      <c r="T348" s="10">
        <v>5</v>
      </c>
      <c r="U348" s="9">
        <f t="shared" si="43"/>
        <v>80</v>
      </c>
      <c r="V348" s="9" t="str">
        <f t="shared" si="44"/>
        <v/>
      </c>
      <c r="W348" s="9">
        <f t="shared" si="45"/>
        <v>25</v>
      </c>
      <c r="X348" s="9">
        <f t="shared" si="46"/>
        <v>90</v>
      </c>
      <c r="Y348" s="9" t="str">
        <f t="shared" si="47"/>
        <v/>
      </c>
      <c r="Z348" s="9">
        <f t="shared" si="48"/>
        <v>35</v>
      </c>
      <c r="AA348" s="3" t="s">
        <v>757</v>
      </c>
      <c r="AB348" s="3" t="s">
        <v>758</v>
      </c>
    </row>
    <row r="349" spans="1:28" ht="76" customHeight="1">
      <c r="A349" s="6" t="s">
        <v>153</v>
      </c>
      <c r="B349" s="3" t="s">
        <v>199</v>
      </c>
      <c r="C349" s="3" t="s">
        <v>747</v>
      </c>
      <c r="D349" s="13" t="s">
        <v>189</v>
      </c>
      <c r="E349" s="8">
        <v>1</v>
      </c>
      <c r="F349" s="12" t="str">
        <f t="shared" si="42"/>
        <v>Ø105 × 105</v>
      </c>
      <c r="G349" s="3" t="s">
        <v>748</v>
      </c>
      <c r="H349" s="3" t="s">
        <v>749</v>
      </c>
      <c r="I349" s="3" t="s">
        <v>750</v>
      </c>
      <c r="J349" s="3" t="s">
        <v>751</v>
      </c>
      <c r="K349" s="3" t="s">
        <v>29</v>
      </c>
      <c r="L349" s="10">
        <v>97</v>
      </c>
      <c r="M349" s="15">
        <v>97</v>
      </c>
      <c r="N349" s="10">
        <v>48.5</v>
      </c>
      <c r="O349" s="11">
        <v>0</v>
      </c>
      <c r="P349" s="10">
        <v>0</v>
      </c>
      <c r="Q349" s="10">
        <v>0</v>
      </c>
      <c r="R349" s="10">
        <v>50</v>
      </c>
      <c r="S349" s="10">
        <v>3</v>
      </c>
      <c r="T349" s="10">
        <v>5</v>
      </c>
      <c r="U349" s="9">
        <f t="shared" si="43"/>
        <v>97</v>
      </c>
      <c r="V349" s="9" t="str">
        <f t="shared" si="44"/>
        <v/>
      </c>
      <c r="W349" s="9">
        <f t="shared" si="45"/>
        <v>98.5</v>
      </c>
      <c r="X349" s="9">
        <f t="shared" si="46"/>
        <v>105</v>
      </c>
      <c r="Y349" s="9" t="str">
        <f t="shared" si="47"/>
        <v/>
      </c>
      <c r="Z349" s="9">
        <f t="shared" si="48"/>
        <v>105</v>
      </c>
      <c r="AA349" s="3" t="s">
        <v>759</v>
      </c>
      <c r="AB349" s="3" t="s">
        <v>753</v>
      </c>
    </row>
    <row r="350" spans="1:28" ht="76" customHeight="1">
      <c r="A350" s="6" t="s">
        <v>153</v>
      </c>
      <c r="B350" s="3" t="s">
        <v>199</v>
      </c>
      <c r="C350" s="3" t="s">
        <v>754</v>
      </c>
      <c r="D350" s="16" t="s">
        <v>755</v>
      </c>
      <c r="E350" s="8">
        <v>1</v>
      </c>
      <c r="F350" s="12" t="str">
        <f t="shared" si="42"/>
        <v>Ø90 × 35</v>
      </c>
      <c r="G350" s="3" t="s">
        <v>748</v>
      </c>
      <c r="H350" s="3" t="s">
        <v>749</v>
      </c>
      <c r="I350" s="3" t="s">
        <v>756</v>
      </c>
      <c r="J350" s="3" t="s">
        <v>751</v>
      </c>
      <c r="K350" s="3" t="s">
        <v>29</v>
      </c>
      <c r="L350" s="10">
        <v>80</v>
      </c>
      <c r="M350" s="15">
        <v>80</v>
      </c>
      <c r="N350" s="10">
        <v>25</v>
      </c>
      <c r="O350" s="11">
        <v>0</v>
      </c>
      <c r="P350" s="10">
        <v>0</v>
      </c>
      <c r="Q350" s="10">
        <v>0</v>
      </c>
      <c r="R350" s="10">
        <v>0</v>
      </c>
      <c r="S350" s="10">
        <v>3</v>
      </c>
      <c r="T350" s="10">
        <v>5</v>
      </c>
      <c r="U350" s="9">
        <f t="shared" si="43"/>
        <v>80</v>
      </c>
      <c r="V350" s="9" t="str">
        <f t="shared" si="44"/>
        <v/>
      </c>
      <c r="W350" s="9">
        <f t="shared" si="45"/>
        <v>25</v>
      </c>
      <c r="X350" s="9">
        <f t="shared" si="46"/>
        <v>90</v>
      </c>
      <c r="Y350" s="9" t="str">
        <f t="shared" si="47"/>
        <v/>
      </c>
      <c r="Z350" s="9">
        <f t="shared" si="48"/>
        <v>35</v>
      </c>
      <c r="AA350" s="3" t="s">
        <v>760</v>
      </c>
      <c r="AB350" s="3" t="s">
        <v>758</v>
      </c>
    </row>
    <row r="351" spans="1:28" ht="76" customHeight="1">
      <c r="A351" s="6" t="s">
        <v>153</v>
      </c>
      <c r="B351" s="3" t="s">
        <v>202</v>
      </c>
      <c r="C351" s="3" t="s">
        <v>747</v>
      </c>
      <c r="D351" s="13" t="s">
        <v>189</v>
      </c>
      <c r="E351" s="8">
        <v>1</v>
      </c>
      <c r="F351" s="12" t="str">
        <f t="shared" si="42"/>
        <v>Ø105 × 105</v>
      </c>
      <c r="G351" s="3" t="s">
        <v>748</v>
      </c>
      <c r="H351" s="3" t="s">
        <v>749</v>
      </c>
      <c r="I351" s="3" t="s">
        <v>750</v>
      </c>
      <c r="J351" s="3" t="s">
        <v>751</v>
      </c>
      <c r="K351" s="3" t="s">
        <v>29</v>
      </c>
      <c r="L351" s="10">
        <v>97</v>
      </c>
      <c r="M351" s="15">
        <v>97</v>
      </c>
      <c r="N351" s="10">
        <v>48.5</v>
      </c>
      <c r="O351" s="11">
        <v>0</v>
      </c>
      <c r="P351" s="10">
        <v>0</v>
      </c>
      <c r="Q351" s="10">
        <v>0</v>
      </c>
      <c r="R351" s="10">
        <v>50</v>
      </c>
      <c r="S351" s="10">
        <v>3</v>
      </c>
      <c r="T351" s="10">
        <v>5</v>
      </c>
      <c r="U351" s="9">
        <f t="shared" si="43"/>
        <v>97</v>
      </c>
      <c r="V351" s="9" t="str">
        <f t="shared" si="44"/>
        <v/>
      </c>
      <c r="W351" s="9">
        <f t="shared" si="45"/>
        <v>98.5</v>
      </c>
      <c r="X351" s="9">
        <f t="shared" si="46"/>
        <v>105</v>
      </c>
      <c r="Y351" s="9" t="str">
        <f t="shared" si="47"/>
        <v/>
      </c>
      <c r="Z351" s="9">
        <f t="shared" si="48"/>
        <v>105</v>
      </c>
      <c r="AA351" s="3" t="s">
        <v>761</v>
      </c>
      <c r="AB351" s="3" t="s">
        <v>753</v>
      </c>
    </row>
    <row r="352" spans="1:28" ht="76" customHeight="1">
      <c r="A352" s="6" t="s">
        <v>153</v>
      </c>
      <c r="B352" s="3" t="s">
        <v>202</v>
      </c>
      <c r="C352" s="3" t="s">
        <v>754</v>
      </c>
      <c r="D352" s="16" t="s">
        <v>755</v>
      </c>
      <c r="E352" s="8">
        <v>1</v>
      </c>
      <c r="F352" s="12" t="str">
        <f t="shared" si="42"/>
        <v>Ø90 × 35</v>
      </c>
      <c r="G352" s="3" t="s">
        <v>748</v>
      </c>
      <c r="H352" s="3" t="s">
        <v>749</v>
      </c>
      <c r="I352" s="3" t="s">
        <v>756</v>
      </c>
      <c r="J352" s="3" t="s">
        <v>751</v>
      </c>
      <c r="K352" s="3" t="s">
        <v>29</v>
      </c>
      <c r="L352" s="10">
        <v>80</v>
      </c>
      <c r="M352" s="15">
        <v>80</v>
      </c>
      <c r="N352" s="10">
        <v>25</v>
      </c>
      <c r="O352" s="11">
        <v>0</v>
      </c>
      <c r="P352" s="10">
        <v>0</v>
      </c>
      <c r="Q352" s="10">
        <v>0</v>
      </c>
      <c r="R352" s="10">
        <v>0</v>
      </c>
      <c r="S352" s="10">
        <v>3</v>
      </c>
      <c r="T352" s="10">
        <v>5</v>
      </c>
      <c r="U352" s="9">
        <f t="shared" si="43"/>
        <v>80</v>
      </c>
      <c r="V352" s="9" t="str">
        <f t="shared" si="44"/>
        <v/>
      </c>
      <c r="W352" s="9">
        <f t="shared" si="45"/>
        <v>25</v>
      </c>
      <c r="X352" s="9">
        <f t="shared" si="46"/>
        <v>90</v>
      </c>
      <c r="Y352" s="9" t="str">
        <f t="shared" si="47"/>
        <v/>
      </c>
      <c r="Z352" s="9">
        <f t="shared" si="48"/>
        <v>35</v>
      </c>
      <c r="AA352" s="3" t="s">
        <v>762</v>
      </c>
      <c r="AB352" s="3" t="s">
        <v>758</v>
      </c>
    </row>
    <row r="353" spans="1:28" ht="76" customHeight="1">
      <c r="A353" s="6" t="s">
        <v>153</v>
      </c>
      <c r="B353" s="3" t="s">
        <v>205</v>
      </c>
      <c r="C353" s="3" t="s">
        <v>747</v>
      </c>
      <c r="D353" s="13" t="s">
        <v>189</v>
      </c>
      <c r="E353" s="8">
        <v>1</v>
      </c>
      <c r="F353" s="12" t="str">
        <f t="shared" si="42"/>
        <v>Ø105 × 105</v>
      </c>
      <c r="G353" s="3" t="s">
        <v>748</v>
      </c>
      <c r="H353" s="3" t="s">
        <v>749</v>
      </c>
      <c r="I353" s="3" t="s">
        <v>750</v>
      </c>
      <c r="J353" s="3" t="s">
        <v>751</v>
      </c>
      <c r="K353" s="3" t="s">
        <v>29</v>
      </c>
      <c r="L353" s="10">
        <v>97</v>
      </c>
      <c r="M353" s="15">
        <v>97</v>
      </c>
      <c r="N353" s="10">
        <v>48.5</v>
      </c>
      <c r="O353" s="11">
        <v>0</v>
      </c>
      <c r="P353" s="10">
        <v>0</v>
      </c>
      <c r="Q353" s="10">
        <v>0</v>
      </c>
      <c r="R353" s="10">
        <v>50</v>
      </c>
      <c r="S353" s="10">
        <v>3</v>
      </c>
      <c r="T353" s="10">
        <v>5</v>
      </c>
      <c r="U353" s="9">
        <f t="shared" si="43"/>
        <v>97</v>
      </c>
      <c r="V353" s="9" t="str">
        <f t="shared" si="44"/>
        <v/>
      </c>
      <c r="W353" s="9">
        <f t="shared" si="45"/>
        <v>98.5</v>
      </c>
      <c r="X353" s="9">
        <f t="shared" si="46"/>
        <v>105</v>
      </c>
      <c r="Y353" s="9" t="str">
        <f t="shared" si="47"/>
        <v/>
      </c>
      <c r="Z353" s="9">
        <f t="shared" si="48"/>
        <v>105</v>
      </c>
      <c r="AA353" s="3" t="s">
        <v>763</v>
      </c>
      <c r="AB353" s="3" t="s">
        <v>753</v>
      </c>
    </row>
    <row r="354" spans="1:28" ht="76" customHeight="1">
      <c r="A354" s="6" t="s">
        <v>153</v>
      </c>
      <c r="B354" s="3" t="s">
        <v>205</v>
      </c>
      <c r="C354" s="3" t="s">
        <v>754</v>
      </c>
      <c r="D354" s="16" t="s">
        <v>755</v>
      </c>
      <c r="E354" s="8">
        <v>1</v>
      </c>
      <c r="F354" s="12" t="str">
        <f t="shared" si="42"/>
        <v>Ø90 × 35</v>
      </c>
      <c r="G354" s="3" t="s">
        <v>748</v>
      </c>
      <c r="H354" s="3" t="s">
        <v>749</v>
      </c>
      <c r="I354" s="3" t="s">
        <v>756</v>
      </c>
      <c r="J354" s="3" t="s">
        <v>751</v>
      </c>
      <c r="K354" s="3" t="s">
        <v>29</v>
      </c>
      <c r="L354" s="10">
        <v>80</v>
      </c>
      <c r="M354" s="15">
        <v>80</v>
      </c>
      <c r="N354" s="10">
        <v>25</v>
      </c>
      <c r="O354" s="11">
        <v>0</v>
      </c>
      <c r="P354" s="10">
        <v>0</v>
      </c>
      <c r="Q354" s="10">
        <v>0</v>
      </c>
      <c r="R354" s="10">
        <v>0</v>
      </c>
      <c r="S354" s="10">
        <v>3</v>
      </c>
      <c r="T354" s="10">
        <v>5</v>
      </c>
      <c r="U354" s="9">
        <f t="shared" si="43"/>
        <v>80</v>
      </c>
      <c r="V354" s="9" t="str">
        <f t="shared" si="44"/>
        <v/>
      </c>
      <c r="W354" s="9">
        <f t="shared" si="45"/>
        <v>25</v>
      </c>
      <c r="X354" s="9">
        <f t="shared" si="46"/>
        <v>90</v>
      </c>
      <c r="Y354" s="9" t="str">
        <f t="shared" si="47"/>
        <v/>
      </c>
      <c r="Z354" s="9">
        <f t="shared" si="48"/>
        <v>35</v>
      </c>
      <c r="AA354" s="3" t="s">
        <v>764</v>
      </c>
      <c r="AB354" s="3" t="s">
        <v>758</v>
      </c>
    </row>
    <row r="355" spans="1:28" ht="76" customHeight="1">
      <c r="A355" s="6" t="s">
        <v>153</v>
      </c>
      <c r="B355" s="3" t="s">
        <v>208</v>
      </c>
      <c r="C355" s="3" t="s">
        <v>747</v>
      </c>
      <c r="D355" s="13" t="s">
        <v>189</v>
      </c>
      <c r="E355" s="8">
        <v>1</v>
      </c>
      <c r="F355" s="12" t="str">
        <f t="shared" si="42"/>
        <v>Ø105 × 105</v>
      </c>
      <c r="G355" s="3" t="s">
        <v>748</v>
      </c>
      <c r="H355" s="3" t="s">
        <v>749</v>
      </c>
      <c r="I355" s="3" t="s">
        <v>750</v>
      </c>
      <c r="J355" s="3" t="s">
        <v>751</v>
      </c>
      <c r="K355" s="3" t="s">
        <v>29</v>
      </c>
      <c r="L355" s="10">
        <v>97</v>
      </c>
      <c r="M355" s="15">
        <v>97</v>
      </c>
      <c r="N355" s="10">
        <v>48.5</v>
      </c>
      <c r="O355" s="11">
        <v>0</v>
      </c>
      <c r="P355" s="10">
        <v>0</v>
      </c>
      <c r="Q355" s="10">
        <v>0</v>
      </c>
      <c r="R355" s="10">
        <v>50</v>
      </c>
      <c r="S355" s="10">
        <v>3</v>
      </c>
      <c r="T355" s="10">
        <v>5</v>
      </c>
      <c r="U355" s="9">
        <f t="shared" si="43"/>
        <v>97</v>
      </c>
      <c r="V355" s="9" t="str">
        <f t="shared" si="44"/>
        <v/>
      </c>
      <c r="W355" s="9">
        <f t="shared" si="45"/>
        <v>98.5</v>
      </c>
      <c r="X355" s="9">
        <f t="shared" si="46"/>
        <v>105</v>
      </c>
      <c r="Y355" s="9" t="str">
        <f t="shared" si="47"/>
        <v/>
      </c>
      <c r="Z355" s="9">
        <f t="shared" si="48"/>
        <v>105</v>
      </c>
      <c r="AA355" s="3" t="s">
        <v>765</v>
      </c>
      <c r="AB355" s="3" t="s">
        <v>753</v>
      </c>
    </row>
    <row r="356" spans="1:28" ht="76" customHeight="1">
      <c r="A356" s="6" t="s">
        <v>153</v>
      </c>
      <c r="B356" s="3" t="s">
        <v>208</v>
      </c>
      <c r="C356" s="3" t="s">
        <v>754</v>
      </c>
      <c r="D356" s="16" t="s">
        <v>755</v>
      </c>
      <c r="E356" s="8">
        <v>1</v>
      </c>
      <c r="F356" s="12" t="str">
        <f t="shared" si="42"/>
        <v>Ø90 × 35</v>
      </c>
      <c r="G356" s="3" t="s">
        <v>748</v>
      </c>
      <c r="H356" s="3" t="s">
        <v>749</v>
      </c>
      <c r="I356" s="3" t="s">
        <v>756</v>
      </c>
      <c r="J356" s="3" t="s">
        <v>751</v>
      </c>
      <c r="K356" s="3" t="s">
        <v>29</v>
      </c>
      <c r="L356" s="10">
        <v>80</v>
      </c>
      <c r="M356" s="15">
        <v>80</v>
      </c>
      <c r="N356" s="10">
        <v>25</v>
      </c>
      <c r="O356" s="11">
        <v>0</v>
      </c>
      <c r="P356" s="10">
        <v>0</v>
      </c>
      <c r="Q356" s="10">
        <v>0</v>
      </c>
      <c r="R356" s="10">
        <v>0</v>
      </c>
      <c r="S356" s="10">
        <v>3</v>
      </c>
      <c r="T356" s="10">
        <v>5</v>
      </c>
      <c r="U356" s="9">
        <f t="shared" si="43"/>
        <v>80</v>
      </c>
      <c r="V356" s="9" t="str">
        <f t="shared" si="44"/>
        <v/>
      </c>
      <c r="W356" s="9">
        <f t="shared" si="45"/>
        <v>25</v>
      </c>
      <c r="X356" s="9">
        <f t="shared" si="46"/>
        <v>90</v>
      </c>
      <c r="Y356" s="9" t="str">
        <f t="shared" si="47"/>
        <v/>
      </c>
      <c r="Z356" s="9">
        <f t="shared" si="48"/>
        <v>35</v>
      </c>
      <c r="AA356" s="3" t="s">
        <v>766</v>
      </c>
      <c r="AB356" s="3" t="s">
        <v>758</v>
      </c>
    </row>
    <row r="357" spans="1:28" ht="76" customHeight="1">
      <c r="A357" s="6" t="s">
        <v>153</v>
      </c>
      <c r="B357" s="3" t="s">
        <v>211</v>
      </c>
      <c r="C357" s="3" t="s">
        <v>747</v>
      </c>
      <c r="D357" s="13" t="s">
        <v>189</v>
      </c>
      <c r="E357" s="8">
        <v>1</v>
      </c>
      <c r="F357" s="12" t="str">
        <f t="shared" si="42"/>
        <v>Ø105 × 105</v>
      </c>
      <c r="G357" s="3" t="s">
        <v>748</v>
      </c>
      <c r="H357" s="3" t="s">
        <v>749</v>
      </c>
      <c r="I357" s="3" t="s">
        <v>750</v>
      </c>
      <c r="J357" s="3" t="s">
        <v>751</v>
      </c>
      <c r="K357" s="3" t="s">
        <v>29</v>
      </c>
      <c r="L357" s="10">
        <v>97</v>
      </c>
      <c r="M357" s="15">
        <v>97</v>
      </c>
      <c r="N357" s="10">
        <v>48.5</v>
      </c>
      <c r="O357" s="11">
        <v>0</v>
      </c>
      <c r="P357" s="10">
        <v>0</v>
      </c>
      <c r="Q357" s="10">
        <v>0</v>
      </c>
      <c r="R357" s="10">
        <v>50</v>
      </c>
      <c r="S357" s="10">
        <v>3</v>
      </c>
      <c r="T357" s="10">
        <v>5</v>
      </c>
      <c r="U357" s="9">
        <f t="shared" si="43"/>
        <v>97</v>
      </c>
      <c r="V357" s="9" t="str">
        <f t="shared" si="44"/>
        <v/>
      </c>
      <c r="W357" s="9">
        <f t="shared" si="45"/>
        <v>98.5</v>
      </c>
      <c r="X357" s="9">
        <f t="shared" si="46"/>
        <v>105</v>
      </c>
      <c r="Y357" s="9" t="str">
        <f t="shared" si="47"/>
        <v/>
      </c>
      <c r="Z357" s="9">
        <f t="shared" si="48"/>
        <v>105</v>
      </c>
      <c r="AA357" s="3" t="s">
        <v>767</v>
      </c>
      <c r="AB357" s="3" t="s">
        <v>753</v>
      </c>
    </row>
    <row r="358" spans="1:28" ht="76" customHeight="1">
      <c r="A358" s="6" t="s">
        <v>153</v>
      </c>
      <c r="B358" s="3" t="s">
        <v>211</v>
      </c>
      <c r="C358" s="3" t="s">
        <v>754</v>
      </c>
      <c r="D358" s="16" t="s">
        <v>755</v>
      </c>
      <c r="E358" s="8">
        <v>1</v>
      </c>
      <c r="F358" s="12" t="str">
        <f t="shared" si="42"/>
        <v>Ø90 × 35</v>
      </c>
      <c r="G358" s="3" t="s">
        <v>748</v>
      </c>
      <c r="H358" s="3" t="s">
        <v>749</v>
      </c>
      <c r="I358" s="3" t="s">
        <v>756</v>
      </c>
      <c r="J358" s="3" t="s">
        <v>751</v>
      </c>
      <c r="K358" s="3" t="s">
        <v>29</v>
      </c>
      <c r="L358" s="10">
        <v>80</v>
      </c>
      <c r="M358" s="15">
        <v>80</v>
      </c>
      <c r="N358" s="10">
        <v>25</v>
      </c>
      <c r="O358" s="11">
        <v>0</v>
      </c>
      <c r="P358" s="10">
        <v>0</v>
      </c>
      <c r="Q358" s="10">
        <v>0</v>
      </c>
      <c r="R358" s="10">
        <v>0</v>
      </c>
      <c r="S358" s="10">
        <v>3</v>
      </c>
      <c r="T358" s="10">
        <v>5</v>
      </c>
      <c r="U358" s="9">
        <f t="shared" si="43"/>
        <v>80</v>
      </c>
      <c r="V358" s="9" t="str">
        <f t="shared" si="44"/>
        <v/>
      </c>
      <c r="W358" s="9">
        <f t="shared" si="45"/>
        <v>25</v>
      </c>
      <c r="X358" s="9">
        <f t="shared" si="46"/>
        <v>90</v>
      </c>
      <c r="Y358" s="9" t="str">
        <f t="shared" si="47"/>
        <v/>
      </c>
      <c r="Z358" s="9">
        <f t="shared" si="48"/>
        <v>35</v>
      </c>
      <c r="AA358" s="3" t="s">
        <v>768</v>
      </c>
      <c r="AB358" s="3" t="s">
        <v>758</v>
      </c>
    </row>
  </sheetData>
  <pageMargins left="0.7" right="0.7" top="0.75" bottom="0.75" header="0.3" footer="0.3"/>
  <headerFooter>
    <oddHeader>&amp;R&amp;"Aptos"&amp;14&amp;K71BF44 RESTRICTED&amp;1#_x000D_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4D68"/>
  </sheetPr>
  <dimension ref="A1:K130"/>
  <sheetViews>
    <sheetView showGridLines="0" workbookViewId="0">
      <pane xSplit="1" ySplit="4" topLeftCell="I5" activePane="bottomRight" state="frozen"/>
      <selection pane="topRight" activeCell="B1" sqref="B1"/>
      <selection pane="bottomLeft" activeCell="A7" sqref="A7"/>
      <selection pane="bottomRight" activeCell="A3" sqref="A3:XFD4"/>
    </sheetView>
  </sheetViews>
  <sheetFormatPr baseColWidth="10" defaultColWidth="8.6640625" defaultRowHeight="14"/>
  <cols>
    <col min="1" max="2" width="29.08203125" customWidth="1"/>
    <col min="3" max="3" width="21" customWidth="1"/>
    <col min="4" max="5" width="13.08203125" customWidth="1"/>
    <col min="6" max="6" width="52.08203125" customWidth="1"/>
    <col min="7" max="7" width="48" customWidth="1"/>
    <col min="8" max="8" width="43.08203125" customWidth="1"/>
    <col min="9" max="9" width="42" customWidth="1"/>
    <col min="10" max="10" width="67" customWidth="1"/>
    <col min="11" max="11" width="76.9140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>
      <c r="A2" s="2" t="s">
        <v>769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8" customHeight="1">
      <c r="A4" s="5" t="s">
        <v>1</v>
      </c>
      <c r="B4" s="5" t="s">
        <v>770</v>
      </c>
      <c r="C4" s="5" t="s">
        <v>771</v>
      </c>
      <c r="D4" s="5" t="s">
        <v>772</v>
      </c>
      <c r="E4" s="5" t="s">
        <v>773</v>
      </c>
      <c r="F4" s="5" t="s">
        <v>774</v>
      </c>
      <c r="G4" s="5" t="s">
        <v>775</v>
      </c>
      <c r="H4" s="5" t="s">
        <v>776</v>
      </c>
      <c r="I4" s="5" t="s">
        <v>777</v>
      </c>
      <c r="J4" s="5" t="s">
        <v>778</v>
      </c>
      <c r="K4" s="5" t="s">
        <v>779</v>
      </c>
    </row>
    <row r="5" spans="1:11" ht="76" customHeight="1">
      <c r="A5" s="6" t="s">
        <v>18</v>
      </c>
      <c r="B5" s="3" t="s">
        <v>780</v>
      </c>
      <c r="C5" s="3" t="s">
        <v>187</v>
      </c>
      <c r="D5" s="7">
        <v>1</v>
      </c>
      <c r="E5" s="7">
        <v>20</v>
      </c>
      <c r="F5" s="3" t="s">
        <v>781</v>
      </c>
      <c r="G5" s="3" t="s">
        <v>782</v>
      </c>
      <c r="H5" s="3" t="s">
        <v>783</v>
      </c>
      <c r="I5" s="3" t="s">
        <v>784</v>
      </c>
      <c r="J5" s="3" t="s">
        <v>785</v>
      </c>
      <c r="K5" s="3" t="s">
        <v>786</v>
      </c>
    </row>
    <row r="6" spans="1:11" ht="76" customHeight="1">
      <c r="A6" s="6" t="s">
        <v>18</v>
      </c>
      <c r="B6" s="3" t="s">
        <v>780</v>
      </c>
      <c r="C6" s="3" t="s">
        <v>199</v>
      </c>
      <c r="D6" s="7">
        <v>21</v>
      </c>
      <c r="E6" s="7">
        <v>100</v>
      </c>
      <c r="F6" s="3" t="s">
        <v>781</v>
      </c>
      <c r="G6" s="3" t="s">
        <v>782</v>
      </c>
      <c r="H6" s="3" t="s">
        <v>783</v>
      </c>
      <c r="I6" s="3" t="s">
        <v>784</v>
      </c>
      <c r="J6" s="3" t="s">
        <v>785</v>
      </c>
      <c r="K6" s="3" t="s">
        <v>786</v>
      </c>
    </row>
    <row r="7" spans="1:11" ht="76" customHeight="1">
      <c r="A7" s="6" t="s">
        <v>18</v>
      </c>
      <c r="B7" s="3" t="s">
        <v>780</v>
      </c>
      <c r="C7" s="3" t="s">
        <v>202</v>
      </c>
      <c r="D7" s="7">
        <v>101</v>
      </c>
      <c r="E7" s="7">
        <v>1000</v>
      </c>
      <c r="F7" s="3" t="s">
        <v>787</v>
      </c>
      <c r="G7" s="3" t="s">
        <v>788</v>
      </c>
      <c r="H7" s="3" t="s">
        <v>789</v>
      </c>
      <c r="I7" s="3" t="s">
        <v>784</v>
      </c>
      <c r="J7" s="3" t="s">
        <v>785</v>
      </c>
      <c r="K7" s="3" t="s">
        <v>786</v>
      </c>
    </row>
    <row r="8" spans="1:11" ht="76" customHeight="1">
      <c r="A8" s="6" t="s">
        <v>18</v>
      </c>
      <c r="B8" s="3" t="s">
        <v>780</v>
      </c>
      <c r="C8" s="3" t="s">
        <v>205</v>
      </c>
      <c r="D8" s="7">
        <v>1001</v>
      </c>
      <c r="E8" s="7">
        <v>10000</v>
      </c>
      <c r="F8" s="3" t="s">
        <v>790</v>
      </c>
      <c r="G8" s="3" t="s">
        <v>788</v>
      </c>
      <c r="H8" s="3" t="s">
        <v>789</v>
      </c>
      <c r="I8" s="3" t="s">
        <v>784</v>
      </c>
      <c r="J8" s="3" t="s">
        <v>785</v>
      </c>
      <c r="K8" s="3" t="s">
        <v>786</v>
      </c>
    </row>
    <row r="9" spans="1:11" ht="76" customHeight="1">
      <c r="A9" s="6" t="s">
        <v>18</v>
      </c>
      <c r="B9" s="3" t="s">
        <v>780</v>
      </c>
      <c r="C9" s="3" t="s">
        <v>208</v>
      </c>
      <c r="D9" s="7">
        <v>10001</v>
      </c>
      <c r="E9" s="7">
        <v>100000</v>
      </c>
      <c r="F9" s="3" t="s">
        <v>791</v>
      </c>
      <c r="G9" s="3" t="s">
        <v>792</v>
      </c>
      <c r="H9" s="3" t="s">
        <v>783</v>
      </c>
      <c r="I9" s="3" t="s">
        <v>784</v>
      </c>
      <c r="J9" s="3" t="s">
        <v>785</v>
      </c>
      <c r="K9" s="3" t="s">
        <v>786</v>
      </c>
    </row>
    <row r="10" spans="1:11" ht="76" customHeight="1">
      <c r="A10" s="6" t="s">
        <v>18</v>
      </c>
      <c r="B10" s="3" t="s">
        <v>780</v>
      </c>
      <c r="C10" s="3" t="s">
        <v>211</v>
      </c>
      <c r="D10" s="7">
        <v>100001</v>
      </c>
      <c r="E10" s="7"/>
      <c r="F10" s="3" t="s">
        <v>793</v>
      </c>
      <c r="G10" s="3" t="s">
        <v>794</v>
      </c>
      <c r="H10" s="3" t="s">
        <v>783</v>
      </c>
      <c r="I10" s="3" t="s">
        <v>784</v>
      </c>
      <c r="J10" s="3" t="s">
        <v>785</v>
      </c>
      <c r="K10" s="3" t="s">
        <v>786</v>
      </c>
    </row>
    <row r="11" spans="1:11" ht="76" customHeight="1">
      <c r="A11" s="6" t="s">
        <v>26</v>
      </c>
      <c r="B11" s="3" t="s">
        <v>780</v>
      </c>
      <c r="C11" s="3" t="s">
        <v>187</v>
      </c>
      <c r="D11" s="7">
        <v>1</v>
      </c>
      <c r="E11" s="7">
        <v>20</v>
      </c>
      <c r="F11" s="3" t="s">
        <v>795</v>
      </c>
      <c r="G11" s="3" t="s">
        <v>407</v>
      </c>
      <c r="H11" s="3" t="s">
        <v>796</v>
      </c>
      <c r="I11" s="3" t="s">
        <v>797</v>
      </c>
      <c r="J11" s="3" t="s">
        <v>798</v>
      </c>
      <c r="K11" s="3" t="s">
        <v>799</v>
      </c>
    </row>
    <row r="12" spans="1:11" ht="76" customHeight="1">
      <c r="A12" s="6" t="s">
        <v>26</v>
      </c>
      <c r="B12" s="3" t="s">
        <v>780</v>
      </c>
      <c r="C12" s="3" t="s">
        <v>199</v>
      </c>
      <c r="D12" s="7">
        <v>21</v>
      </c>
      <c r="E12" s="7">
        <v>100</v>
      </c>
      <c r="F12" s="3" t="s">
        <v>800</v>
      </c>
      <c r="G12" s="3" t="s">
        <v>407</v>
      </c>
      <c r="H12" s="3" t="s">
        <v>796</v>
      </c>
      <c r="I12" s="3" t="s">
        <v>797</v>
      </c>
      <c r="J12" s="3" t="s">
        <v>798</v>
      </c>
      <c r="K12" s="3" t="s">
        <v>799</v>
      </c>
    </row>
    <row r="13" spans="1:11" ht="76" customHeight="1">
      <c r="A13" s="6" t="s">
        <v>26</v>
      </c>
      <c r="B13" s="3" t="s">
        <v>780</v>
      </c>
      <c r="C13" s="3" t="s">
        <v>202</v>
      </c>
      <c r="D13" s="7">
        <v>101</v>
      </c>
      <c r="E13" s="7">
        <v>1000</v>
      </c>
      <c r="F13" s="3" t="s">
        <v>801</v>
      </c>
      <c r="G13" s="3" t="s">
        <v>407</v>
      </c>
      <c r="H13" s="3" t="s">
        <v>796</v>
      </c>
      <c r="I13" s="3" t="s">
        <v>797</v>
      </c>
      <c r="J13" s="3" t="s">
        <v>798</v>
      </c>
      <c r="K13" s="3" t="s">
        <v>799</v>
      </c>
    </row>
    <row r="14" spans="1:11" ht="76" customHeight="1">
      <c r="A14" s="6" t="s">
        <v>26</v>
      </c>
      <c r="B14" s="3" t="s">
        <v>780</v>
      </c>
      <c r="C14" s="3" t="s">
        <v>205</v>
      </c>
      <c r="D14" s="7">
        <v>1001</v>
      </c>
      <c r="E14" s="7">
        <v>10000</v>
      </c>
      <c r="F14" s="3" t="s">
        <v>802</v>
      </c>
      <c r="G14" s="3" t="s">
        <v>407</v>
      </c>
      <c r="H14" s="3" t="s">
        <v>796</v>
      </c>
      <c r="I14" s="3" t="s">
        <v>797</v>
      </c>
      <c r="J14" s="3" t="s">
        <v>798</v>
      </c>
      <c r="K14" s="3" t="s">
        <v>799</v>
      </c>
    </row>
    <row r="15" spans="1:11" ht="76" customHeight="1">
      <c r="A15" s="6" t="s">
        <v>26</v>
      </c>
      <c r="B15" s="3" t="s">
        <v>780</v>
      </c>
      <c r="C15" s="3" t="s">
        <v>208</v>
      </c>
      <c r="D15" s="7">
        <v>10001</v>
      </c>
      <c r="E15" s="7">
        <v>100000</v>
      </c>
      <c r="F15" s="3" t="s">
        <v>803</v>
      </c>
      <c r="G15" s="3" t="s">
        <v>804</v>
      </c>
      <c r="H15" s="3" t="s">
        <v>805</v>
      </c>
      <c r="I15" s="3" t="s">
        <v>797</v>
      </c>
      <c r="J15" s="3" t="s">
        <v>798</v>
      </c>
      <c r="K15" s="3" t="s">
        <v>799</v>
      </c>
    </row>
    <row r="16" spans="1:11" ht="76" customHeight="1">
      <c r="A16" s="6" t="s">
        <v>26</v>
      </c>
      <c r="B16" s="3" t="s">
        <v>780</v>
      </c>
      <c r="C16" s="3" t="s">
        <v>211</v>
      </c>
      <c r="D16" s="7">
        <v>100001</v>
      </c>
      <c r="E16" s="7"/>
      <c r="F16" s="3" t="s">
        <v>806</v>
      </c>
      <c r="G16" s="3" t="s">
        <v>807</v>
      </c>
      <c r="H16" s="3" t="s">
        <v>808</v>
      </c>
      <c r="I16" s="3" t="s">
        <v>797</v>
      </c>
      <c r="J16" s="3" t="s">
        <v>798</v>
      </c>
      <c r="K16" s="3" t="s">
        <v>799</v>
      </c>
    </row>
    <row r="17" spans="1:11" ht="76" customHeight="1">
      <c r="A17" s="6" t="s">
        <v>34</v>
      </c>
      <c r="B17" s="3" t="s">
        <v>780</v>
      </c>
      <c r="C17" s="3" t="s">
        <v>187</v>
      </c>
      <c r="D17" s="7">
        <v>1</v>
      </c>
      <c r="E17" s="7">
        <v>20</v>
      </c>
      <c r="F17" s="3" t="s">
        <v>809</v>
      </c>
      <c r="G17" s="3" t="s">
        <v>407</v>
      </c>
      <c r="H17" s="3" t="s">
        <v>810</v>
      </c>
      <c r="I17" s="3" t="s">
        <v>811</v>
      </c>
      <c r="J17" s="3" t="s">
        <v>812</v>
      </c>
      <c r="K17" s="3" t="s">
        <v>813</v>
      </c>
    </row>
    <row r="18" spans="1:11" ht="76" customHeight="1">
      <c r="A18" s="6" t="s">
        <v>34</v>
      </c>
      <c r="B18" s="3" t="s">
        <v>780</v>
      </c>
      <c r="C18" s="3" t="s">
        <v>199</v>
      </c>
      <c r="D18" s="7">
        <v>21</v>
      </c>
      <c r="E18" s="7">
        <v>100</v>
      </c>
      <c r="F18" s="3" t="s">
        <v>809</v>
      </c>
      <c r="G18" s="3" t="s">
        <v>407</v>
      </c>
      <c r="H18" s="3" t="s">
        <v>810</v>
      </c>
      <c r="I18" s="3" t="s">
        <v>811</v>
      </c>
      <c r="J18" s="3" t="s">
        <v>812</v>
      </c>
      <c r="K18" s="3" t="s">
        <v>813</v>
      </c>
    </row>
    <row r="19" spans="1:11" ht="76" customHeight="1">
      <c r="A19" s="6" t="s">
        <v>34</v>
      </c>
      <c r="B19" s="3" t="s">
        <v>780</v>
      </c>
      <c r="C19" s="3" t="s">
        <v>202</v>
      </c>
      <c r="D19" s="7">
        <v>101</v>
      </c>
      <c r="E19" s="7">
        <v>1000</v>
      </c>
      <c r="F19" s="3" t="s">
        <v>814</v>
      </c>
      <c r="G19" s="3" t="s">
        <v>407</v>
      </c>
      <c r="H19" s="3" t="s">
        <v>810</v>
      </c>
      <c r="I19" s="3" t="s">
        <v>811</v>
      </c>
      <c r="J19" s="3" t="s">
        <v>812</v>
      </c>
      <c r="K19" s="3" t="s">
        <v>813</v>
      </c>
    </row>
    <row r="20" spans="1:11" ht="76" customHeight="1">
      <c r="A20" s="6" t="s">
        <v>34</v>
      </c>
      <c r="B20" s="3" t="s">
        <v>780</v>
      </c>
      <c r="C20" s="3" t="s">
        <v>205</v>
      </c>
      <c r="D20" s="7">
        <v>1001</v>
      </c>
      <c r="E20" s="7">
        <v>10000</v>
      </c>
      <c r="F20" s="3" t="s">
        <v>815</v>
      </c>
      <c r="G20" s="3" t="s">
        <v>816</v>
      </c>
      <c r="H20" s="3" t="s">
        <v>810</v>
      </c>
      <c r="I20" s="3" t="s">
        <v>811</v>
      </c>
      <c r="J20" s="3" t="s">
        <v>812</v>
      </c>
      <c r="K20" s="3" t="s">
        <v>813</v>
      </c>
    </row>
    <row r="21" spans="1:11" ht="76" customHeight="1">
      <c r="A21" s="6" t="s">
        <v>34</v>
      </c>
      <c r="B21" s="3" t="s">
        <v>780</v>
      </c>
      <c r="C21" s="3" t="s">
        <v>208</v>
      </c>
      <c r="D21" s="7">
        <v>10001</v>
      </c>
      <c r="E21" s="7">
        <v>100000</v>
      </c>
      <c r="F21" s="3" t="s">
        <v>803</v>
      </c>
      <c r="G21" s="3" t="s">
        <v>817</v>
      </c>
      <c r="H21" s="3" t="s">
        <v>818</v>
      </c>
      <c r="I21" s="3" t="s">
        <v>811</v>
      </c>
      <c r="J21" s="3" t="s">
        <v>812</v>
      </c>
      <c r="K21" s="3" t="s">
        <v>813</v>
      </c>
    </row>
    <row r="22" spans="1:11" ht="76" customHeight="1">
      <c r="A22" s="6" t="s">
        <v>34</v>
      </c>
      <c r="B22" s="3" t="s">
        <v>780</v>
      </c>
      <c r="C22" s="3" t="s">
        <v>211</v>
      </c>
      <c r="D22" s="7">
        <v>100001</v>
      </c>
      <c r="E22" s="7"/>
      <c r="F22" s="3" t="s">
        <v>819</v>
      </c>
      <c r="G22" s="3" t="s">
        <v>820</v>
      </c>
      <c r="H22" s="3" t="s">
        <v>818</v>
      </c>
      <c r="I22" s="3" t="s">
        <v>811</v>
      </c>
      <c r="J22" s="3" t="s">
        <v>812</v>
      </c>
      <c r="K22" s="3" t="s">
        <v>813</v>
      </c>
    </row>
    <row r="23" spans="1:11" ht="76" customHeight="1">
      <c r="A23" s="6" t="s">
        <v>40</v>
      </c>
      <c r="B23" s="3" t="s">
        <v>780</v>
      </c>
      <c r="C23" s="3" t="s">
        <v>187</v>
      </c>
      <c r="D23" s="7">
        <v>1</v>
      </c>
      <c r="E23" s="7">
        <v>20</v>
      </c>
      <c r="F23" s="3" t="s">
        <v>821</v>
      </c>
      <c r="G23" s="3" t="s">
        <v>822</v>
      </c>
      <c r="H23" s="3" t="s">
        <v>823</v>
      </c>
      <c r="I23" s="3" t="s">
        <v>824</v>
      </c>
      <c r="J23" s="3" t="s">
        <v>825</v>
      </c>
      <c r="K23" s="3" t="s">
        <v>826</v>
      </c>
    </row>
    <row r="24" spans="1:11" ht="76" customHeight="1">
      <c r="A24" s="6" t="s">
        <v>40</v>
      </c>
      <c r="B24" s="3" t="s">
        <v>780</v>
      </c>
      <c r="C24" s="3" t="s">
        <v>199</v>
      </c>
      <c r="D24" s="7">
        <v>21</v>
      </c>
      <c r="E24" s="7">
        <v>100</v>
      </c>
      <c r="F24" s="3" t="s">
        <v>827</v>
      </c>
      <c r="G24" s="3" t="s">
        <v>828</v>
      </c>
      <c r="H24" s="3" t="s">
        <v>829</v>
      </c>
      <c r="I24" s="3" t="s">
        <v>824</v>
      </c>
      <c r="J24" s="3" t="s">
        <v>825</v>
      </c>
      <c r="K24" s="3" t="s">
        <v>826</v>
      </c>
    </row>
    <row r="25" spans="1:11" ht="76" customHeight="1">
      <c r="A25" s="6" t="s">
        <v>40</v>
      </c>
      <c r="B25" s="3" t="s">
        <v>780</v>
      </c>
      <c r="C25" s="3" t="s">
        <v>202</v>
      </c>
      <c r="D25" s="7">
        <v>101</v>
      </c>
      <c r="E25" s="7">
        <v>1000</v>
      </c>
      <c r="F25" s="3" t="s">
        <v>830</v>
      </c>
      <c r="G25" s="3" t="s">
        <v>831</v>
      </c>
      <c r="H25" s="3" t="s">
        <v>832</v>
      </c>
      <c r="I25" s="3" t="s">
        <v>824</v>
      </c>
      <c r="J25" s="3" t="s">
        <v>825</v>
      </c>
      <c r="K25" s="3" t="s">
        <v>826</v>
      </c>
    </row>
    <row r="26" spans="1:11" ht="76" customHeight="1">
      <c r="A26" s="6" t="s">
        <v>40</v>
      </c>
      <c r="B26" s="3" t="s">
        <v>780</v>
      </c>
      <c r="C26" s="3" t="s">
        <v>205</v>
      </c>
      <c r="D26" s="7">
        <v>1001</v>
      </c>
      <c r="E26" s="7">
        <v>10000</v>
      </c>
      <c r="F26" s="3" t="s">
        <v>833</v>
      </c>
      <c r="G26" s="3" t="s">
        <v>834</v>
      </c>
      <c r="H26" s="3" t="s">
        <v>835</v>
      </c>
      <c r="I26" s="3" t="s">
        <v>824</v>
      </c>
      <c r="J26" s="3" t="s">
        <v>825</v>
      </c>
      <c r="K26" s="3" t="s">
        <v>826</v>
      </c>
    </row>
    <row r="27" spans="1:11" ht="76" customHeight="1">
      <c r="A27" s="6" t="s">
        <v>40</v>
      </c>
      <c r="B27" s="3" t="s">
        <v>780</v>
      </c>
      <c r="C27" s="3" t="s">
        <v>208</v>
      </c>
      <c r="D27" s="7">
        <v>10001</v>
      </c>
      <c r="E27" s="7">
        <v>100000</v>
      </c>
      <c r="F27" s="3" t="s">
        <v>836</v>
      </c>
      <c r="G27" s="3" t="s">
        <v>837</v>
      </c>
      <c r="H27" s="3" t="s">
        <v>832</v>
      </c>
      <c r="I27" s="3" t="s">
        <v>824</v>
      </c>
      <c r="J27" s="3" t="s">
        <v>825</v>
      </c>
      <c r="K27" s="3" t="s">
        <v>826</v>
      </c>
    </row>
    <row r="28" spans="1:11" ht="76" customHeight="1">
      <c r="A28" s="6" t="s">
        <v>40</v>
      </c>
      <c r="B28" s="3" t="s">
        <v>780</v>
      </c>
      <c r="C28" s="3" t="s">
        <v>211</v>
      </c>
      <c r="D28" s="7">
        <v>100001</v>
      </c>
      <c r="E28" s="7"/>
      <c r="F28" s="3" t="s">
        <v>838</v>
      </c>
      <c r="G28" s="3" t="s">
        <v>839</v>
      </c>
      <c r="H28" s="3" t="s">
        <v>840</v>
      </c>
      <c r="I28" s="3" t="s">
        <v>824</v>
      </c>
      <c r="J28" s="3" t="s">
        <v>825</v>
      </c>
      <c r="K28" s="3" t="s">
        <v>826</v>
      </c>
    </row>
    <row r="29" spans="1:11" ht="76" customHeight="1">
      <c r="A29" s="6" t="s">
        <v>46</v>
      </c>
      <c r="B29" s="3" t="s">
        <v>780</v>
      </c>
      <c r="C29" s="3" t="s">
        <v>187</v>
      </c>
      <c r="D29" s="7">
        <v>1</v>
      </c>
      <c r="E29" s="7">
        <v>20</v>
      </c>
      <c r="F29" s="3" t="s">
        <v>841</v>
      </c>
      <c r="G29" s="3" t="s">
        <v>842</v>
      </c>
      <c r="H29" s="3" t="s">
        <v>843</v>
      </c>
      <c r="I29" s="3" t="s">
        <v>844</v>
      </c>
      <c r="J29" s="3" t="s">
        <v>845</v>
      </c>
      <c r="K29" s="3" t="s">
        <v>846</v>
      </c>
    </row>
    <row r="30" spans="1:11" ht="76" customHeight="1">
      <c r="A30" s="6" t="s">
        <v>46</v>
      </c>
      <c r="B30" s="3" t="s">
        <v>780</v>
      </c>
      <c r="C30" s="3" t="s">
        <v>199</v>
      </c>
      <c r="D30" s="7">
        <v>21</v>
      </c>
      <c r="E30" s="7">
        <v>100</v>
      </c>
      <c r="F30" s="3" t="s">
        <v>847</v>
      </c>
      <c r="G30" s="3" t="s">
        <v>848</v>
      </c>
      <c r="H30" s="3" t="s">
        <v>849</v>
      </c>
      <c r="I30" s="3" t="s">
        <v>844</v>
      </c>
      <c r="J30" s="3" t="s">
        <v>845</v>
      </c>
      <c r="K30" s="3" t="s">
        <v>846</v>
      </c>
    </row>
    <row r="31" spans="1:11" ht="76" customHeight="1">
      <c r="A31" s="6" t="s">
        <v>46</v>
      </c>
      <c r="B31" s="3" t="s">
        <v>780</v>
      </c>
      <c r="C31" s="3" t="s">
        <v>202</v>
      </c>
      <c r="D31" s="7">
        <v>101</v>
      </c>
      <c r="E31" s="7">
        <v>1000</v>
      </c>
      <c r="F31" s="3" t="s">
        <v>850</v>
      </c>
      <c r="G31" s="3" t="s">
        <v>851</v>
      </c>
      <c r="H31" s="3" t="s">
        <v>849</v>
      </c>
      <c r="I31" s="3" t="s">
        <v>844</v>
      </c>
      <c r="J31" s="3" t="s">
        <v>845</v>
      </c>
      <c r="K31" s="3" t="s">
        <v>846</v>
      </c>
    </row>
    <row r="32" spans="1:11" ht="76" customHeight="1">
      <c r="A32" s="6" t="s">
        <v>46</v>
      </c>
      <c r="B32" s="3" t="s">
        <v>780</v>
      </c>
      <c r="C32" s="3" t="s">
        <v>205</v>
      </c>
      <c r="D32" s="7">
        <v>1001</v>
      </c>
      <c r="E32" s="7">
        <v>10000</v>
      </c>
      <c r="F32" s="3" t="s">
        <v>852</v>
      </c>
      <c r="G32" s="3" t="s">
        <v>834</v>
      </c>
      <c r="H32" s="3" t="s">
        <v>853</v>
      </c>
      <c r="I32" s="3" t="s">
        <v>844</v>
      </c>
      <c r="J32" s="3" t="s">
        <v>845</v>
      </c>
      <c r="K32" s="3" t="s">
        <v>846</v>
      </c>
    </row>
    <row r="33" spans="1:11" ht="76" customHeight="1">
      <c r="A33" s="6" t="s">
        <v>46</v>
      </c>
      <c r="B33" s="3" t="s">
        <v>780</v>
      </c>
      <c r="C33" s="3" t="s">
        <v>208</v>
      </c>
      <c r="D33" s="7">
        <v>10001</v>
      </c>
      <c r="E33" s="7">
        <v>100000</v>
      </c>
      <c r="F33" s="3" t="s">
        <v>854</v>
      </c>
      <c r="G33" s="3" t="s">
        <v>855</v>
      </c>
      <c r="H33" s="3" t="s">
        <v>856</v>
      </c>
      <c r="I33" s="3" t="s">
        <v>844</v>
      </c>
      <c r="J33" s="3" t="s">
        <v>845</v>
      </c>
      <c r="K33" s="3" t="s">
        <v>846</v>
      </c>
    </row>
    <row r="34" spans="1:11" ht="76" customHeight="1">
      <c r="A34" s="6" t="s">
        <v>46</v>
      </c>
      <c r="B34" s="3" t="s">
        <v>780</v>
      </c>
      <c r="C34" s="3" t="s">
        <v>211</v>
      </c>
      <c r="D34" s="7">
        <v>100001</v>
      </c>
      <c r="E34" s="7"/>
      <c r="F34" s="3" t="s">
        <v>857</v>
      </c>
      <c r="G34" s="3" t="s">
        <v>855</v>
      </c>
      <c r="H34" s="3" t="s">
        <v>856</v>
      </c>
      <c r="I34" s="3" t="s">
        <v>844</v>
      </c>
      <c r="J34" s="3" t="s">
        <v>845</v>
      </c>
      <c r="K34" s="3" t="s">
        <v>846</v>
      </c>
    </row>
    <row r="35" spans="1:11" ht="76" customHeight="1">
      <c r="A35" s="6" t="s">
        <v>51</v>
      </c>
      <c r="B35" s="3" t="s">
        <v>780</v>
      </c>
      <c r="C35" s="3" t="s">
        <v>187</v>
      </c>
      <c r="D35" s="7">
        <v>1</v>
      </c>
      <c r="E35" s="7">
        <v>20</v>
      </c>
      <c r="F35" s="3" t="s">
        <v>858</v>
      </c>
      <c r="G35" s="3" t="s">
        <v>859</v>
      </c>
      <c r="H35" s="3" t="s">
        <v>810</v>
      </c>
      <c r="I35" s="3" t="s">
        <v>860</v>
      </c>
      <c r="J35" s="3" t="s">
        <v>861</v>
      </c>
      <c r="K35" s="3" t="s">
        <v>862</v>
      </c>
    </row>
    <row r="36" spans="1:11" ht="76" customHeight="1">
      <c r="A36" s="6" t="s">
        <v>51</v>
      </c>
      <c r="B36" s="3" t="s">
        <v>780</v>
      </c>
      <c r="C36" s="3" t="s">
        <v>199</v>
      </c>
      <c r="D36" s="7">
        <v>21</v>
      </c>
      <c r="E36" s="7">
        <v>100</v>
      </c>
      <c r="F36" s="3" t="s">
        <v>863</v>
      </c>
      <c r="G36" s="3" t="s">
        <v>859</v>
      </c>
      <c r="H36" s="3" t="s">
        <v>810</v>
      </c>
      <c r="I36" s="3" t="s">
        <v>860</v>
      </c>
      <c r="J36" s="3" t="s">
        <v>861</v>
      </c>
      <c r="K36" s="3" t="s">
        <v>862</v>
      </c>
    </row>
    <row r="37" spans="1:11" ht="76" customHeight="1">
      <c r="A37" s="6" t="s">
        <v>51</v>
      </c>
      <c r="B37" s="3" t="s">
        <v>780</v>
      </c>
      <c r="C37" s="3" t="s">
        <v>202</v>
      </c>
      <c r="D37" s="7">
        <v>101</v>
      </c>
      <c r="E37" s="7">
        <v>1000</v>
      </c>
      <c r="F37" s="3" t="s">
        <v>864</v>
      </c>
      <c r="G37" s="3" t="s">
        <v>865</v>
      </c>
      <c r="H37" s="3" t="s">
        <v>810</v>
      </c>
      <c r="I37" s="3" t="s">
        <v>860</v>
      </c>
      <c r="J37" s="3" t="s">
        <v>861</v>
      </c>
      <c r="K37" s="3" t="s">
        <v>862</v>
      </c>
    </row>
    <row r="38" spans="1:11" ht="76" customHeight="1">
      <c r="A38" s="6" t="s">
        <v>51</v>
      </c>
      <c r="B38" s="3" t="s">
        <v>780</v>
      </c>
      <c r="C38" s="3" t="s">
        <v>205</v>
      </c>
      <c r="D38" s="7">
        <v>1001</v>
      </c>
      <c r="E38" s="7">
        <v>10000</v>
      </c>
      <c r="F38" s="3" t="s">
        <v>866</v>
      </c>
      <c r="G38" s="3" t="s">
        <v>865</v>
      </c>
      <c r="H38" s="3" t="s">
        <v>867</v>
      </c>
      <c r="I38" s="3" t="s">
        <v>860</v>
      </c>
      <c r="J38" s="3" t="s">
        <v>861</v>
      </c>
      <c r="K38" s="3" t="s">
        <v>862</v>
      </c>
    </row>
    <row r="39" spans="1:11" ht="76" customHeight="1">
      <c r="A39" s="6" t="s">
        <v>51</v>
      </c>
      <c r="B39" s="3" t="s">
        <v>780</v>
      </c>
      <c r="C39" s="3" t="s">
        <v>208</v>
      </c>
      <c r="D39" s="7">
        <v>10001</v>
      </c>
      <c r="E39" s="7">
        <v>100000</v>
      </c>
      <c r="F39" s="3" t="s">
        <v>868</v>
      </c>
      <c r="G39" s="3" t="s">
        <v>869</v>
      </c>
      <c r="H39" s="3" t="s">
        <v>818</v>
      </c>
      <c r="I39" s="3" t="s">
        <v>860</v>
      </c>
      <c r="J39" s="3" t="s">
        <v>861</v>
      </c>
      <c r="K39" s="3" t="s">
        <v>862</v>
      </c>
    </row>
    <row r="40" spans="1:11" ht="76" customHeight="1">
      <c r="A40" s="6" t="s">
        <v>51</v>
      </c>
      <c r="B40" s="3" t="s">
        <v>780</v>
      </c>
      <c r="C40" s="3" t="s">
        <v>211</v>
      </c>
      <c r="D40" s="7">
        <v>100001</v>
      </c>
      <c r="E40" s="7"/>
      <c r="F40" s="3" t="s">
        <v>870</v>
      </c>
      <c r="G40" s="3" t="s">
        <v>871</v>
      </c>
      <c r="H40" s="3" t="s">
        <v>818</v>
      </c>
      <c r="I40" s="3" t="s">
        <v>860</v>
      </c>
      <c r="J40" s="3" t="s">
        <v>861</v>
      </c>
      <c r="K40" s="3" t="s">
        <v>862</v>
      </c>
    </row>
    <row r="41" spans="1:11" ht="76" customHeight="1">
      <c r="A41" s="6" t="s">
        <v>58</v>
      </c>
      <c r="B41" s="3" t="s">
        <v>872</v>
      </c>
      <c r="C41" s="3" t="s">
        <v>187</v>
      </c>
      <c r="D41" s="7">
        <v>1</v>
      </c>
      <c r="E41" s="7">
        <v>20</v>
      </c>
      <c r="F41" s="3" t="s">
        <v>795</v>
      </c>
      <c r="G41" s="3" t="s">
        <v>873</v>
      </c>
      <c r="H41" s="3" t="s">
        <v>874</v>
      </c>
      <c r="I41" s="3" t="s">
        <v>875</v>
      </c>
      <c r="J41" s="3" t="s">
        <v>876</v>
      </c>
      <c r="K41" s="3" t="s">
        <v>877</v>
      </c>
    </row>
    <row r="42" spans="1:11" ht="76" customHeight="1">
      <c r="A42" s="6" t="s">
        <v>58</v>
      </c>
      <c r="B42" s="3" t="s">
        <v>872</v>
      </c>
      <c r="C42" s="3" t="s">
        <v>199</v>
      </c>
      <c r="D42" s="7">
        <v>21</v>
      </c>
      <c r="E42" s="7">
        <v>100</v>
      </c>
      <c r="F42" s="3" t="s">
        <v>878</v>
      </c>
      <c r="G42" s="3" t="s">
        <v>879</v>
      </c>
      <c r="H42" s="3" t="s">
        <v>874</v>
      </c>
      <c r="I42" s="3" t="s">
        <v>875</v>
      </c>
      <c r="J42" s="3" t="s">
        <v>876</v>
      </c>
      <c r="K42" s="3" t="s">
        <v>877</v>
      </c>
    </row>
    <row r="43" spans="1:11" ht="76" customHeight="1">
      <c r="A43" s="6" t="s">
        <v>58</v>
      </c>
      <c r="B43" s="3" t="s">
        <v>872</v>
      </c>
      <c r="C43" s="3" t="s">
        <v>202</v>
      </c>
      <c r="D43" s="7">
        <v>101</v>
      </c>
      <c r="E43" s="7">
        <v>1000</v>
      </c>
      <c r="F43" s="3" t="s">
        <v>880</v>
      </c>
      <c r="G43" s="3" t="s">
        <v>881</v>
      </c>
      <c r="H43" s="3" t="s">
        <v>882</v>
      </c>
      <c r="I43" s="3" t="s">
        <v>875</v>
      </c>
      <c r="J43" s="3" t="s">
        <v>876</v>
      </c>
      <c r="K43" s="3" t="s">
        <v>877</v>
      </c>
    </row>
    <row r="44" spans="1:11" ht="76" customHeight="1">
      <c r="A44" s="6" t="s">
        <v>58</v>
      </c>
      <c r="B44" s="3" t="s">
        <v>872</v>
      </c>
      <c r="C44" s="3" t="s">
        <v>205</v>
      </c>
      <c r="D44" s="7">
        <v>1001</v>
      </c>
      <c r="E44" s="7">
        <v>10000</v>
      </c>
      <c r="F44" s="3" t="s">
        <v>801</v>
      </c>
      <c r="G44" s="3" t="s">
        <v>883</v>
      </c>
      <c r="H44" s="3" t="s">
        <v>884</v>
      </c>
      <c r="I44" s="3" t="s">
        <v>875</v>
      </c>
      <c r="J44" s="3" t="s">
        <v>876</v>
      </c>
      <c r="K44" s="3" t="s">
        <v>877</v>
      </c>
    </row>
    <row r="45" spans="1:11" ht="76" customHeight="1">
      <c r="A45" s="6" t="s">
        <v>58</v>
      </c>
      <c r="B45" s="3" t="s">
        <v>872</v>
      </c>
      <c r="C45" s="3" t="s">
        <v>208</v>
      </c>
      <c r="D45" s="7">
        <v>10001</v>
      </c>
      <c r="E45" s="7">
        <v>100000</v>
      </c>
      <c r="F45" s="3" t="s">
        <v>885</v>
      </c>
      <c r="G45" s="3" t="s">
        <v>886</v>
      </c>
      <c r="H45" s="3" t="s">
        <v>887</v>
      </c>
      <c r="I45" s="3" t="s">
        <v>875</v>
      </c>
      <c r="J45" s="3" t="s">
        <v>876</v>
      </c>
      <c r="K45" s="3" t="s">
        <v>877</v>
      </c>
    </row>
    <row r="46" spans="1:11" ht="76" customHeight="1">
      <c r="A46" s="6" t="s">
        <v>58</v>
      </c>
      <c r="B46" s="3" t="s">
        <v>872</v>
      </c>
      <c r="C46" s="3" t="s">
        <v>211</v>
      </c>
      <c r="D46" s="7">
        <v>100001</v>
      </c>
      <c r="E46" s="7"/>
      <c r="F46" s="3" t="s">
        <v>888</v>
      </c>
      <c r="G46" s="3" t="s">
        <v>889</v>
      </c>
      <c r="H46" s="3" t="s">
        <v>890</v>
      </c>
      <c r="I46" s="3" t="s">
        <v>875</v>
      </c>
      <c r="J46" s="3" t="s">
        <v>876</v>
      </c>
      <c r="K46" s="3" t="s">
        <v>877</v>
      </c>
    </row>
    <row r="47" spans="1:11" ht="76" customHeight="1">
      <c r="A47" s="6" t="s">
        <v>65</v>
      </c>
      <c r="B47" s="3" t="s">
        <v>872</v>
      </c>
      <c r="C47" s="3" t="s">
        <v>187</v>
      </c>
      <c r="D47" s="7">
        <v>1</v>
      </c>
      <c r="E47" s="7">
        <v>20</v>
      </c>
      <c r="F47" s="3" t="s">
        <v>891</v>
      </c>
      <c r="G47" s="3" t="s">
        <v>892</v>
      </c>
      <c r="H47" s="3" t="s">
        <v>893</v>
      </c>
      <c r="I47" s="3" t="s">
        <v>894</v>
      </c>
      <c r="J47" s="3" t="s">
        <v>895</v>
      </c>
      <c r="K47" s="3" t="s">
        <v>877</v>
      </c>
    </row>
    <row r="48" spans="1:11" ht="76" customHeight="1">
      <c r="A48" s="6" t="s">
        <v>65</v>
      </c>
      <c r="B48" s="3" t="s">
        <v>872</v>
      </c>
      <c r="C48" s="3" t="s">
        <v>199</v>
      </c>
      <c r="D48" s="7">
        <v>21</v>
      </c>
      <c r="E48" s="7">
        <v>100</v>
      </c>
      <c r="F48" s="3" t="s">
        <v>896</v>
      </c>
      <c r="G48" s="3" t="s">
        <v>892</v>
      </c>
      <c r="H48" s="3" t="s">
        <v>893</v>
      </c>
      <c r="I48" s="3" t="s">
        <v>894</v>
      </c>
      <c r="J48" s="3" t="s">
        <v>895</v>
      </c>
      <c r="K48" s="3" t="s">
        <v>877</v>
      </c>
    </row>
    <row r="49" spans="1:11" ht="76" customHeight="1">
      <c r="A49" s="6" t="s">
        <v>65</v>
      </c>
      <c r="B49" s="3" t="s">
        <v>872</v>
      </c>
      <c r="C49" s="3" t="s">
        <v>202</v>
      </c>
      <c r="D49" s="7">
        <v>101</v>
      </c>
      <c r="E49" s="7">
        <v>1000</v>
      </c>
      <c r="F49" s="3" t="s">
        <v>897</v>
      </c>
      <c r="G49" s="3" t="s">
        <v>851</v>
      </c>
      <c r="H49" s="3" t="s">
        <v>893</v>
      </c>
      <c r="I49" s="3" t="s">
        <v>894</v>
      </c>
      <c r="J49" s="3" t="s">
        <v>895</v>
      </c>
      <c r="K49" s="3" t="s">
        <v>877</v>
      </c>
    </row>
    <row r="50" spans="1:11" ht="76" customHeight="1">
      <c r="A50" s="6" t="s">
        <v>65</v>
      </c>
      <c r="B50" s="3" t="s">
        <v>872</v>
      </c>
      <c r="C50" s="3" t="s">
        <v>205</v>
      </c>
      <c r="D50" s="7">
        <v>1001</v>
      </c>
      <c r="E50" s="7">
        <v>10000</v>
      </c>
      <c r="F50" s="3" t="s">
        <v>898</v>
      </c>
      <c r="G50" s="3" t="s">
        <v>899</v>
      </c>
      <c r="H50" s="3" t="s">
        <v>900</v>
      </c>
      <c r="I50" s="3" t="s">
        <v>894</v>
      </c>
      <c r="J50" s="3" t="s">
        <v>895</v>
      </c>
      <c r="K50" s="3" t="s">
        <v>877</v>
      </c>
    </row>
    <row r="51" spans="1:11" ht="76" customHeight="1">
      <c r="A51" s="6" t="s">
        <v>65</v>
      </c>
      <c r="B51" s="3" t="s">
        <v>872</v>
      </c>
      <c r="C51" s="3" t="s">
        <v>208</v>
      </c>
      <c r="D51" s="7">
        <v>10001</v>
      </c>
      <c r="E51" s="7">
        <v>100000</v>
      </c>
      <c r="F51" s="3" t="s">
        <v>901</v>
      </c>
      <c r="G51" s="3" t="s">
        <v>902</v>
      </c>
      <c r="H51" s="3" t="s">
        <v>900</v>
      </c>
      <c r="I51" s="3" t="s">
        <v>894</v>
      </c>
      <c r="J51" s="3" t="s">
        <v>895</v>
      </c>
      <c r="K51" s="3" t="s">
        <v>877</v>
      </c>
    </row>
    <row r="52" spans="1:11" ht="76" customHeight="1">
      <c r="A52" s="6" t="s">
        <v>65</v>
      </c>
      <c r="B52" s="3" t="s">
        <v>872</v>
      </c>
      <c r="C52" s="3" t="s">
        <v>211</v>
      </c>
      <c r="D52" s="7">
        <v>100001</v>
      </c>
      <c r="E52" s="7"/>
      <c r="F52" s="3" t="s">
        <v>903</v>
      </c>
      <c r="G52" s="3" t="s">
        <v>904</v>
      </c>
      <c r="H52" s="3" t="s">
        <v>900</v>
      </c>
      <c r="I52" s="3" t="s">
        <v>894</v>
      </c>
      <c r="J52" s="3" t="s">
        <v>895</v>
      </c>
      <c r="K52" s="3" t="s">
        <v>877</v>
      </c>
    </row>
    <row r="53" spans="1:11" ht="76" customHeight="1">
      <c r="A53" s="6" t="s">
        <v>71</v>
      </c>
      <c r="B53" s="3" t="s">
        <v>872</v>
      </c>
      <c r="C53" s="3" t="s">
        <v>187</v>
      </c>
      <c r="D53" s="7">
        <v>1</v>
      </c>
      <c r="E53" s="7">
        <v>20</v>
      </c>
      <c r="F53" s="3" t="s">
        <v>905</v>
      </c>
      <c r="G53" s="3" t="s">
        <v>906</v>
      </c>
      <c r="H53" s="3" t="s">
        <v>907</v>
      </c>
      <c r="I53" s="3" t="s">
        <v>908</v>
      </c>
      <c r="J53" s="3" t="s">
        <v>909</v>
      </c>
      <c r="K53" s="3" t="s">
        <v>877</v>
      </c>
    </row>
    <row r="54" spans="1:11" ht="76" customHeight="1">
      <c r="A54" s="6" t="s">
        <v>71</v>
      </c>
      <c r="B54" s="3" t="s">
        <v>872</v>
      </c>
      <c r="C54" s="3" t="s">
        <v>199</v>
      </c>
      <c r="D54" s="7">
        <v>21</v>
      </c>
      <c r="E54" s="7">
        <v>100</v>
      </c>
      <c r="F54" s="3" t="s">
        <v>910</v>
      </c>
      <c r="G54" s="3" t="s">
        <v>879</v>
      </c>
      <c r="H54" s="3" t="s">
        <v>874</v>
      </c>
      <c r="I54" s="3" t="s">
        <v>908</v>
      </c>
      <c r="J54" s="3" t="s">
        <v>909</v>
      </c>
      <c r="K54" s="3" t="s">
        <v>877</v>
      </c>
    </row>
    <row r="55" spans="1:11" ht="76" customHeight="1">
      <c r="A55" s="6" t="s">
        <v>71</v>
      </c>
      <c r="B55" s="3" t="s">
        <v>872</v>
      </c>
      <c r="C55" s="3" t="s">
        <v>202</v>
      </c>
      <c r="D55" s="7">
        <v>101</v>
      </c>
      <c r="E55" s="7">
        <v>1000</v>
      </c>
      <c r="F55" s="3" t="s">
        <v>911</v>
      </c>
      <c r="G55" s="3" t="s">
        <v>912</v>
      </c>
      <c r="H55" s="3" t="s">
        <v>913</v>
      </c>
      <c r="I55" s="3" t="s">
        <v>908</v>
      </c>
      <c r="J55" s="3" t="s">
        <v>909</v>
      </c>
      <c r="K55" s="3" t="s">
        <v>877</v>
      </c>
    </row>
    <row r="56" spans="1:11" ht="76" customHeight="1">
      <c r="A56" s="6" t="s">
        <v>71</v>
      </c>
      <c r="B56" s="3" t="s">
        <v>872</v>
      </c>
      <c r="C56" s="3" t="s">
        <v>205</v>
      </c>
      <c r="D56" s="7">
        <v>1001</v>
      </c>
      <c r="E56" s="7">
        <v>10000</v>
      </c>
      <c r="F56" s="3" t="s">
        <v>914</v>
      </c>
      <c r="G56" s="3" t="s">
        <v>915</v>
      </c>
      <c r="H56" s="3" t="s">
        <v>916</v>
      </c>
      <c r="I56" s="3" t="s">
        <v>908</v>
      </c>
      <c r="J56" s="3" t="s">
        <v>909</v>
      </c>
      <c r="K56" s="3" t="s">
        <v>877</v>
      </c>
    </row>
    <row r="57" spans="1:11" ht="76" customHeight="1">
      <c r="A57" s="6" t="s">
        <v>71</v>
      </c>
      <c r="B57" s="3" t="s">
        <v>872</v>
      </c>
      <c r="C57" s="3" t="s">
        <v>208</v>
      </c>
      <c r="D57" s="7">
        <v>10001</v>
      </c>
      <c r="E57" s="7">
        <v>100000</v>
      </c>
      <c r="F57" s="3" t="s">
        <v>917</v>
      </c>
      <c r="G57" s="3" t="s">
        <v>918</v>
      </c>
      <c r="H57" s="3" t="s">
        <v>919</v>
      </c>
      <c r="I57" s="3" t="s">
        <v>908</v>
      </c>
      <c r="J57" s="3" t="s">
        <v>909</v>
      </c>
      <c r="K57" s="3" t="s">
        <v>877</v>
      </c>
    </row>
    <row r="58" spans="1:11" ht="76" customHeight="1">
      <c r="A58" s="6" t="s">
        <v>71</v>
      </c>
      <c r="B58" s="3" t="s">
        <v>872</v>
      </c>
      <c r="C58" s="3" t="s">
        <v>211</v>
      </c>
      <c r="D58" s="7">
        <v>100001</v>
      </c>
      <c r="E58" s="7"/>
      <c r="F58" s="3" t="s">
        <v>920</v>
      </c>
      <c r="G58" s="3" t="s">
        <v>921</v>
      </c>
      <c r="H58" s="3" t="s">
        <v>922</v>
      </c>
      <c r="I58" s="3" t="s">
        <v>908</v>
      </c>
      <c r="J58" s="3" t="s">
        <v>909</v>
      </c>
      <c r="K58" s="3" t="s">
        <v>877</v>
      </c>
    </row>
    <row r="59" spans="1:11" ht="76" customHeight="1">
      <c r="A59" s="6" t="s">
        <v>74</v>
      </c>
      <c r="B59" s="3" t="s">
        <v>872</v>
      </c>
      <c r="C59" s="3" t="s">
        <v>187</v>
      </c>
      <c r="D59" s="7">
        <v>1</v>
      </c>
      <c r="E59" s="7">
        <v>20</v>
      </c>
      <c r="F59" s="3" t="s">
        <v>923</v>
      </c>
      <c r="G59" s="3" t="s">
        <v>924</v>
      </c>
      <c r="H59" s="3" t="s">
        <v>925</v>
      </c>
      <c r="I59" s="3" t="s">
        <v>908</v>
      </c>
      <c r="J59" s="3" t="s">
        <v>926</v>
      </c>
      <c r="K59" s="3" t="s">
        <v>877</v>
      </c>
    </row>
    <row r="60" spans="1:11" ht="76" customHeight="1">
      <c r="A60" s="6" t="s">
        <v>74</v>
      </c>
      <c r="B60" s="3" t="s">
        <v>872</v>
      </c>
      <c r="C60" s="3" t="s">
        <v>199</v>
      </c>
      <c r="D60" s="7">
        <v>21</v>
      </c>
      <c r="E60" s="7">
        <v>100</v>
      </c>
      <c r="F60" s="3" t="s">
        <v>927</v>
      </c>
      <c r="G60" s="3" t="s">
        <v>924</v>
      </c>
      <c r="H60" s="3" t="s">
        <v>928</v>
      </c>
      <c r="I60" s="3" t="s">
        <v>908</v>
      </c>
      <c r="J60" s="3" t="s">
        <v>926</v>
      </c>
      <c r="K60" s="3" t="s">
        <v>877</v>
      </c>
    </row>
    <row r="61" spans="1:11" ht="76" customHeight="1">
      <c r="A61" s="6" t="s">
        <v>74</v>
      </c>
      <c r="B61" s="3" t="s">
        <v>872</v>
      </c>
      <c r="C61" s="3" t="s">
        <v>202</v>
      </c>
      <c r="D61" s="7">
        <v>101</v>
      </c>
      <c r="E61" s="7">
        <v>1000</v>
      </c>
      <c r="F61" s="3" t="s">
        <v>929</v>
      </c>
      <c r="G61" s="3" t="s">
        <v>930</v>
      </c>
      <c r="H61" s="3" t="s">
        <v>931</v>
      </c>
      <c r="I61" s="3" t="s">
        <v>908</v>
      </c>
      <c r="J61" s="3" t="s">
        <v>926</v>
      </c>
      <c r="K61" s="3" t="s">
        <v>877</v>
      </c>
    </row>
    <row r="62" spans="1:11" ht="76" customHeight="1">
      <c r="A62" s="6" t="s">
        <v>74</v>
      </c>
      <c r="B62" s="3" t="s">
        <v>872</v>
      </c>
      <c r="C62" s="3" t="s">
        <v>205</v>
      </c>
      <c r="D62" s="7">
        <v>1001</v>
      </c>
      <c r="E62" s="7">
        <v>10000</v>
      </c>
      <c r="F62" s="3" t="s">
        <v>932</v>
      </c>
      <c r="G62" s="3" t="s">
        <v>918</v>
      </c>
      <c r="H62" s="3" t="s">
        <v>783</v>
      </c>
      <c r="I62" s="3" t="s">
        <v>908</v>
      </c>
      <c r="J62" s="3" t="s">
        <v>926</v>
      </c>
      <c r="K62" s="3" t="s">
        <v>877</v>
      </c>
    </row>
    <row r="63" spans="1:11" ht="76" customHeight="1">
      <c r="A63" s="6" t="s">
        <v>74</v>
      </c>
      <c r="B63" s="3" t="s">
        <v>872</v>
      </c>
      <c r="C63" s="3" t="s">
        <v>208</v>
      </c>
      <c r="D63" s="7">
        <v>10001</v>
      </c>
      <c r="E63" s="7">
        <v>100000</v>
      </c>
      <c r="F63" s="3" t="s">
        <v>933</v>
      </c>
      <c r="G63" s="3" t="s">
        <v>918</v>
      </c>
      <c r="H63" s="3" t="s">
        <v>783</v>
      </c>
      <c r="I63" s="3" t="s">
        <v>908</v>
      </c>
      <c r="J63" s="3" t="s">
        <v>926</v>
      </c>
      <c r="K63" s="3" t="s">
        <v>877</v>
      </c>
    </row>
    <row r="64" spans="1:11" ht="76" customHeight="1">
      <c r="A64" s="6" t="s">
        <v>74</v>
      </c>
      <c r="B64" s="3" t="s">
        <v>872</v>
      </c>
      <c r="C64" s="3" t="s">
        <v>211</v>
      </c>
      <c r="D64" s="7">
        <v>100001</v>
      </c>
      <c r="E64" s="7"/>
      <c r="F64" s="3" t="s">
        <v>934</v>
      </c>
      <c r="G64" s="3" t="s">
        <v>935</v>
      </c>
      <c r="H64" s="3" t="s">
        <v>936</v>
      </c>
      <c r="I64" s="3" t="s">
        <v>908</v>
      </c>
      <c r="J64" s="3" t="s">
        <v>926</v>
      </c>
      <c r="K64" s="3" t="s">
        <v>877</v>
      </c>
    </row>
    <row r="65" spans="1:11" ht="76" customHeight="1">
      <c r="A65" s="6" t="s">
        <v>82</v>
      </c>
      <c r="B65" s="3" t="s">
        <v>872</v>
      </c>
      <c r="C65" s="3" t="s">
        <v>187</v>
      </c>
      <c r="D65" s="7">
        <v>1</v>
      </c>
      <c r="E65" s="7">
        <v>20</v>
      </c>
      <c r="F65" s="3" t="s">
        <v>937</v>
      </c>
      <c r="G65" s="3" t="s">
        <v>938</v>
      </c>
      <c r="H65" s="3" t="s">
        <v>939</v>
      </c>
      <c r="I65" s="3" t="s">
        <v>940</v>
      </c>
      <c r="J65" s="3" t="s">
        <v>941</v>
      </c>
      <c r="K65" s="3" t="s">
        <v>942</v>
      </c>
    </row>
    <row r="66" spans="1:11" ht="76" customHeight="1">
      <c r="A66" s="6" t="s">
        <v>82</v>
      </c>
      <c r="B66" s="3" t="s">
        <v>872</v>
      </c>
      <c r="C66" s="3" t="s">
        <v>199</v>
      </c>
      <c r="D66" s="7">
        <v>21</v>
      </c>
      <c r="E66" s="7">
        <v>100</v>
      </c>
      <c r="F66" s="3" t="s">
        <v>943</v>
      </c>
      <c r="G66" s="3" t="s">
        <v>944</v>
      </c>
      <c r="H66" s="3" t="s">
        <v>939</v>
      </c>
      <c r="I66" s="3" t="s">
        <v>940</v>
      </c>
      <c r="J66" s="3" t="s">
        <v>941</v>
      </c>
      <c r="K66" s="3" t="s">
        <v>942</v>
      </c>
    </row>
    <row r="67" spans="1:11" ht="76" customHeight="1">
      <c r="A67" s="6" t="s">
        <v>82</v>
      </c>
      <c r="B67" s="3" t="s">
        <v>872</v>
      </c>
      <c r="C67" s="3" t="s">
        <v>202</v>
      </c>
      <c r="D67" s="7">
        <v>101</v>
      </c>
      <c r="E67" s="7">
        <v>1000</v>
      </c>
      <c r="F67" s="3" t="s">
        <v>945</v>
      </c>
      <c r="G67" s="3" t="s">
        <v>946</v>
      </c>
      <c r="H67" s="3" t="s">
        <v>939</v>
      </c>
      <c r="I67" s="3" t="s">
        <v>940</v>
      </c>
      <c r="J67" s="3" t="s">
        <v>941</v>
      </c>
      <c r="K67" s="3" t="s">
        <v>942</v>
      </c>
    </row>
    <row r="68" spans="1:11" ht="76" customHeight="1">
      <c r="A68" s="6" t="s">
        <v>82</v>
      </c>
      <c r="B68" s="3" t="s">
        <v>872</v>
      </c>
      <c r="C68" s="3" t="s">
        <v>205</v>
      </c>
      <c r="D68" s="7">
        <v>1001</v>
      </c>
      <c r="E68" s="7">
        <v>10000</v>
      </c>
      <c r="F68" s="3" t="s">
        <v>947</v>
      </c>
      <c r="G68" s="3" t="s">
        <v>948</v>
      </c>
      <c r="H68" s="3" t="s">
        <v>949</v>
      </c>
      <c r="I68" s="3" t="s">
        <v>940</v>
      </c>
      <c r="J68" s="3" t="s">
        <v>941</v>
      </c>
      <c r="K68" s="3" t="s">
        <v>942</v>
      </c>
    </row>
    <row r="69" spans="1:11" ht="76" customHeight="1">
      <c r="A69" s="6" t="s">
        <v>82</v>
      </c>
      <c r="B69" s="3" t="s">
        <v>872</v>
      </c>
      <c r="C69" s="3" t="s">
        <v>208</v>
      </c>
      <c r="D69" s="7">
        <v>10001</v>
      </c>
      <c r="E69" s="7">
        <v>100000</v>
      </c>
      <c r="F69" s="3" t="s">
        <v>950</v>
      </c>
      <c r="G69" s="3" t="s">
        <v>948</v>
      </c>
      <c r="H69" s="3" t="s">
        <v>951</v>
      </c>
      <c r="I69" s="3" t="s">
        <v>940</v>
      </c>
      <c r="J69" s="3" t="s">
        <v>941</v>
      </c>
      <c r="K69" s="3" t="s">
        <v>942</v>
      </c>
    </row>
    <row r="70" spans="1:11" ht="76" customHeight="1">
      <c r="A70" s="6" t="s">
        <v>82</v>
      </c>
      <c r="B70" s="3" t="s">
        <v>872</v>
      </c>
      <c r="C70" s="3" t="s">
        <v>211</v>
      </c>
      <c r="D70" s="7">
        <v>100001</v>
      </c>
      <c r="E70" s="7"/>
      <c r="F70" s="3" t="s">
        <v>952</v>
      </c>
      <c r="G70" s="3" t="s">
        <v>948</v>
      </c>
      <c r="H70" s="3" t="s">
        <v>951</v>
      </c>
      <c r="I70" s="3" t="s">
        <v>940</v>
      </c>
      <c r="J70" s="3" t="s">
        <v>941</v>
      </c>
      <c r="K70" s="3" t="s">
        <v>942</v>
      </c>
    </row>
    <row r="71" spans="1:11" ht="76" customHeight="1">
      <c r="A71" s="6" t="s">
        <v>87</v>
      </c>
      <c r="B71" s="3" t="s">
        <v>953</v>
      </c>
      <c r="C71" s="3" t="s">
        <v>187</v>
      </c>
      <c r="D71" s="7">
        <v>1</v>
      </c>
      <c r="E71" s="7">
        <v>20</v>
      </c>
      <c r="F71" s="3" t="s">
        <v>954</v>
      </c>
      <c r="G71" s="3" t="s">
        <v>955</v>
      </c>
      <c r="H71" s="3" t="s">
        <v>783</v>
      </c>
      <c r="I71" s="3" t="s">
        <v>956</v>
      </c>
      <c r="J71" s="3" t="s">
        <v>957</v>
      </c>
      <c r="K71" s="3" t="s">
        <v>958</v>
      </c>
    </row>
    <row r="72" spans="1:11" ht="76" customHeight="1">
      <c r="A72" s="6" t="s">
        <v>87</v>
      </c>
      <c r="B72" s="3" t="s">
        <v>953</v>
      </c>
      <c r="C72" s="3" t="s">
        <v>199</v>
      </c>
      <c r="D72" s="7">
        <v>21</v>
      </c>
      <c r="E72" s="7">
        <v>100</v>
      </c>
      <c r="F72" s="3" t="s">
        <v>959</v>
      </c>
      <c r="G72" s="3" t="s">
        <v>955</v>
      </c>
      <c r="H72" s="3" t="s">
        <v>783</v>
      </c>
      <c r="I72" s="3" t="s">
        <v>956</v>
      </c>
      <c r="J72" s="3" t="s">
        <v>957</v>
      </c>
      <c r="K72" s="3" t="s">
        <v>958</v>
      </c>
    </row>
    <row r="73" spans="1:11" ht="76" customHeight="1">
      <c r="A73" s="6" t="s">
        <v>87</v>
      </c>
      <c r="B73" s="3" t="s">
        <v>953</v>
      </c>
      <c r="C73" s="3" t="s">
        <v>202</v>
      </c>
      <c r="D73" s="7">
        <v>101</v>
      </c>
      <c r="E73" s="7">
        <v>1000</v>
      </c>
      <c r="F73" s="3" t="s">
        <v>960</v>
      </c>
      <c r="G73" s="3" t="s">
        <v>961</v>
      </c>
      <c r="H73" s="3" t="s">
        <v>962</v>
      </c>
      <c r="I73" s="3" t="s">
        <v>956</v>
      </c>
      <c r="J73" s="3" t="s">
        <v>957</v>
      </c>
      <c r="K73" s="3" t="s">
        <v>958</v>
      </c>
    </row>
    <row r="74" spans="1:11" ht="76" customHeight="1">
      <c r="A74" s="6" t="s">
        <v>87</v>
      </c>
      <c r="B74" s="3" t="s">
        <v>953</v>
      </c>
      <c r="C74" s="3" t="s">
        <v>205</v>
      </c>
      <c r="D74" s="7">
        <v>1001</v>
      </c>
      <c r="E74" s="7">
        <v>10000</v>
      </c>
      <c r="F74" s="3" t="s">
        <v>963</v>
      </c>
      <c r="G74" s="3" t="s">
        <v>964</v>
      </c>
      <c r="H74" s="3" t="s">
        <v>965</v>
      </c>
      <c r="I74" s="3" t="s">
        <v>956</v>
      </c>
      <c r="J74" s="3" t="s">
        <v>957</v>
      </c>
      <c r="K74" s="3" t="s">
        <v>958</v>
      </c>
    </row>
    <row r="75" spans="1:11" ht="76" customHeight="1">
      <c r="A75" s="6" t="s">
        <v>87</v>
      </c>
      <c r="B75" s="3" t="s">
        <v>953</v>
      </c>
      <c r="C75" s="3" t="s">
        <v>208</v>
      </c>
      <c r="D75" s="7">
        <v>10001</v>
      </c>
      <c r="E75" s="7">
        <v>100000</v>
      </c>
      <c r="F75" s="3" t="s">
        <v>966</v>
      </c>
      <c r="G75" s="3" t="s">
        <v>967</v>
      </c>
      <c r="H75" s="3" t="s">
        <v>968</v>
      </c>
      <c r="I75" s="3" t="s">
        <v>956</v>
      </c>
      <c r="J75" s="3" t="s">
        <v>957</v>
      </c>
      <c r="K75" s="3" t="s">
        <v>958</v>
      </c>
    </row>
    <row r="76" spans="1:11" ht="76" customHeight="1">
      <c r="A76" s="6" t="s">
        <v>87</v>
      </c>
      <c r="B76" s="3" t="s">
        <v>953</v>
      </c>
      <c r="C76" s="3" t="s">
        <v>211</v>
      </c>
      <c r="D76" s="7">
        <v>100001</v>
      </c>
      <c r="E76" s="7"/>
      <c r="F76" s="3" t="s">
        <v>969</v>
      </c>
      <c r="G76" s="3" t="s">
        <v>970</v>
      </c>
      <c r="H76" s="3" t="s">
        <v>968</v>
      </c>
      <c r="I76" s="3" t="s">
        <v>956</v>
      </c>
      <c r="J76" s="3" t="s">
        <v>957</v>
      </c>
      <c r="K76" s="3" t="s">
        <v>958</v>
      </c>
    </row>
    <row r="77" spans="1:11" ht="76" customHeight="1">
      <c r="A77" s="6" t="s">
        <v>97</v>
      </c>
      <c r="B77" s="3" t="s">
        <v>953</v>
      </c>
      <c r="C77" s="3" t="s">
        <v>187</v>
      </c>
      <c r="D77" s="7">
        <v>1</v>
      </c>
      <c r="E77" s="7">
        <v>20</v>
      </c>
      <c r="F77" s="3" t="s">
        <v>971</v>
      </c>
      <c r="G77" s="3" t="s">
        <v>972</v>
      </c>
      <c r="H77" s="3" t="s">
        <v>973</v>
      </c>
      <c r="I77" s="3" t="s">
        <v>974</v>
      </c>
      <c r="J77" s="3" t="s">
        <v>975</v>
      </c>
      <c r="K77" s="3" t="s">
        <v>826</v>
      </c>
    </row>
    <row r="78" spans="1:11" ht="76" customHeight="1">
      <c r="A78" s="6" t="s">
        <v>97</v>
      </c>
      <c r="B78" s="3" t="s">
        <v>953</v>
      </c>
      <c r="C78" s="3" t="s">
        <v>199</v>
      </c>
      <c r="D78" s="7">
        <v>21</v>
      </c>
      <c r="E78" s="7">
        <v>100</v>
      </c>
      <c r="F78" s="3" t="s">
        <v>896</v>
      </c>
      <c r="G78" s="3" t="s">
        <v>976</v>
      </c>
      <c r="H78" s="3" t="s">
        <v>977</v>
      </c>
      <c r="I78" s="3" t="s">
        <v>974</v>
      </c>
      <c r="J78" s="3" t="s">
        <v>975</v>
      </c>
      <c r="K78" s="3" t="s">
        <v>826</v>
      </c>
    </row>
    <row r="79" spans="1:11" ht="76" customHeight="1">
      <c r="A79" s="6" t="s">
        <v>97</v>
      </c>
      <c r="B79" s="3" t="s">
        <v>953</v>
      </c>
      <c r="C79" s="3" t="s">
        <v>202</v>
      </c>
      <c r="D79" s="7">
        <v>101</v>
      </c>
      <c r="E79" s="7">
        <v>1000</v>
      </c>
      <c r="F79" s="3" t="s">
        <v>978</v>
      </c>
      <c r="G79" s="3" t="s">
        <v>979</v>
      </c>
      <c r="H79" s="3" t="s">
        <v>980</v>
      </c>
      <c r="I79" s="3" t="s">
        <v>974</v>
      </c>
      <c r="J79" s="3" t="s">
        <v>975</v>
      </c>
      <c r="K79" s="3" t="s">
        <v>826</v>
      </c>
    </row>
    <row r="80" spans="1:11" ht="76" customHeight="1">
      <c r="A80" s="6" t="s">
        <v>97</v>
      </c>
      <c r="B80" s="3" t="s">
        <v>953</v>
      </c>
      <c r="C80" s="3" t="s">
        <v>205</v>
      </c>
      <c r="D80" s="7">
        <v>1001</v>
      </c>
      <c r="E80" s="7">
        <v>10000</v>
      </c>
      <c r="F80" s="3" t="s">
        <v>981</v>
      </c>
      <c r="G80" s="3" t="s">
        <v>918</v>
      </c>
      <c r="H80" s="3" t="s">
        <v>783</v>
      </c>
      <c r="I80" s="3" t="s">
        <v>974</v>
      </c>
      <c r="J80" s="3" t="s">
        <v>975</v>
      </c>
      <c r="K80" s="3" t="s">
        <v>826</v>
      </c>
    </row>
    <row r="81" spans="1:11" ht="76" customHeight="1">
      <c r="A81" s="6" t="s">
        <v>97</v>
      </c>
      <c r="B81" s="3" t="s">
        <v>953</v>
      </c>
      <c r="C81" s="3" t="s">
        <v>208</v>
      </c>
      <c r="D81" s="7">
        <v>10001</v>
      </c>
      <c r="E81" s="7">
        <v>100000</v>
      </c>
      <c r="F81" s="3" t="s">
        <v>982</v>
      </c>
      <c r="G81" s="3" t="s">
        <v>918</v>
      </c>
      <c r="H81" s="3" t="s">
        <v>783</v>
      </c>
      <c r="I81" s="3" t="s">
        <v>974</v>
      </c>
      <c r="J81" s="3" t="s">
        <v>975</v>
      </c>
      <c r="K81" s="3" t="s">
        <v>826</v>
      </c>
    </row>
    <row r="82" spans="1:11" ht="76" customHeight="1">
      <c r="A82" s="6" t="s">
        <v>97</v>
      </c>
      <c r="B82" s="3" t="s">
        <v>953</v>
      </c>
      <c r="C82" s="3" t="s">
        <v>211</v>
      </c>
      <c r="D82" s="7">
        <v>100001</v>
      </c>
      <c r="E82" s="7"/>
      <c r="F82" s="3" t="s">
        <v>983</v>
      </c>
      <c r="G82" s="3" t="s">
        <v>984</v>
      </c>
      <c r="H82" s="3" t="s">
        <v>985</v>
      </c>
      <c r="I82" s="3" t="s">
        <v>974</v>
      </c>
      <c r="J82" s="3" t="s">
        <v>975</v>
      </c>
      <c r="K82" s="3" t="s">
        <v>826</v>
      </c>
    </row>
    <row r="83" spans="1:11" ht="76" customHeight="1">
      <c r="A83" s="6" t="s">
        <v>105</v>
      </c>
      <c r="B83" s="3" t="s">
        <v>953</v>
      </c>
      <c r="C83" s="3" t="s">
        <v>187</v>
      </c>
      <c r="D83" s="7">
        <v>1</v>
      </c>
      <c r="E83" s="7">
        <v>20</v>
      </c>
      <c r="F83" s="3" t="s">
        <v>986</v>
      </c>
      <c r="G83" s="3" t="s">
        <v>987</v>
      </c>
      <c r="H83" s="3" t="s">
        <v>988</v>
      </c>
      <c r="I83" s="3" t="s">
        <v>989</v>
      </c>
      <c r="J83" s="3" t="s">
        <v>990</v>
      </c>
      <c r="K83" s="3" t="s">
        <v>991</v>
      </c>
    </row>
    <row r="84" spans="1:11" ht="76" customHeight="1">
      <c r="A84" s="6" t="s">
        <v>105</v>
      </c>
      <c r="B84" s="3" t="s">
        <v>953</v>
      </c>
      <c r="C84" s="3" t="s">
        <v>199</v>
      </c>
      <c r="D84" s="7">
        <v>21</v>
      </c>
      <c r="E84" s="7">
        <v>100</v>
      </c>
      <c r="F84" s="3" t="s">
        <v>992</v>
      </c>
      <c r="G84" s="3" t="s">
        <v>993</v>
      </c>
      <c r="H84" s="3" t="s">
        <v>994</v>
      </c>
      <c r="I84" s="3" t="s">
        <v>989</v>
      </c>
      <c r="J84" s="3" t="s">
        <v>990</v>
      </c>
      <c r="K84" s="3" t="s">
        <v>991</v>
      </c>
    </row>
    <row r="85" spans="1:11" ht="76" customHeight="1">
      <c r="A85" s="6" t="s">
        <v>105</v>
      </c>
      <c r="B85" s="3" t="s">
        <v>953</v>
      </c>
      <c r="C85" s="3" t="s">
        <v>202</v>
      </c>
      <c r="D85" s="7">
        <v>101</v>
      </c>
      <c r="E85" s="7">
        <v>1000</v>
      </c>
      <c r="F85" s="3" t="s">
        <v>995</v>
      </c>
      <c r="G85" s="3" t="s">
        <v>996</v>
      </c>
      <c r="H85" s="3" t="s">
        <v>997</v>
      </c>
      <c r="I85" s="3" t="s">
        <v>989</v>
      </c>
      <c r="J85" s="3" t="s">
        <v>990</v>
      </c>
      <c r="K85" s="3" t="s">
        <v>991</v>
      </c>
    </row>
    <row r="86" spans="1:11" ht="76" customHeight="1">
      <c r="A86" s="6" t="s">
        <v>105</v>
      </c>
      <c r="B86" s="3" t="s">
        <v>953</v>
      </c>
      <c r="C86" s="3" t="s">
        <v>205</v>
      </c>
      <c r="D86" s="7">
        <v>1001</v>
      </c>
      <c r="E86" s="7">
        <v>10000</v>
      </c>
      <c r="F86" s="3" t="s">
        <v>998</v>
      </c>
      <c r="G86" s="3" t="s">
        <v>999</v>
      </c>
      <c r="H86" s="3" t="s">
        <v>997</v>
      </c>
      <c r="I86" s="3" t="s">
        <v>989</v>
      </c>
      <c r="J86" s="3" t="s">
        <v>990</v>
      </c>
      <c r="K86" s="3" t="s">
        <v>991</v>
      </c>
    </row>
    <row r="87" spans="1:11" ht="76" customHeight="1">
      <c r="A87" s="6" t="s">
        <v>105</v>
      </c>
      <c r="B87" s="3" t="s">
        <v>953</v>
      </c>
      <c r="C87" s="3" t="s">
        <v>208</v>
      </c>
      <c r="D87" s="7">
        <v>10001</v>
      </c>
      <c r="E87" s="7">
        <v>100000</v>
      </c>
      <c r="F87" s="3" t="s">
        <v>1000</v>
      </c>
      <c r="G87" s="3" t="s">
        <v>1001</v>
      </c>
      <c r="H87" s="3" t="s">
        <v>997</v>
      </c>
      <c r="I87" s="3" t="s">
        <v>989</v>
      </c>
      <c r="J87" s="3" t="s">
        <v>990</v>
      </c>
      <c r="K87" s="3" t="s">
        <v>991</v>
      </c>
    </row>
    <row r="88" spans="1:11" ht="76" customHeight="1">
      <c r="A88" s="6" t="s">
        <v>105</v>
      </c>
      <c r="B88" s="3" t="s">
        <v>953</v>
      </c>
      <c r="C88" s="3" t="s">
        <v>211</v>
      </c>
      <c r="D88" s="7">
        <v>100001</v>
      </c>
      <c r="E88" s="7"/>
      <c r="F88" s="3" t="s">
        <v>1002</v>
      </c>
      <c r="G88" s="3" t="s">
        <v>1003</v>
      </c>
      <c r="H88" s="3" t="s">
        <v>997</v>
      </c>
      <c r="I88" s="3" t="s">
        <v>989</v>
      </c>
      <c r="J88" s="3" t="s">
        <v>990</v>
      </c>
      <c r="K88" s="3" t="s">
        <v>991</v>
      </c>
    </row>
    <row r="89" spans="1:11" ht="76" customHeight="1">
      <c r="A89" s="6" t="s">
        <v>110</v>
      </c>
      <c r="B89" s="3" t="s">
        <v>953</v>
      </c>
      <c r="C89" s="3" t="s">
        <v>187</v>
      </c>
      <c r="D89" s="7">
        <v>1</v>
      </c>
      <c r="E89" s="7">
        <v>20</v>
      </c>
      <c r="F89" s="3" t="s">
        <v>1004</v>
      </c>
      <c r="G89" s="3" t="s">
        <v>1005</v>
      </c>
      <c r="H89" s="3" t="s">
        <v>1006</v>
      </c>
      <c r="I89" s="3" t="s">
        <v>1007</v>
      </c>
      <c r="J89" s="3" t="s">
        <v>1008</v>
      </c>
      <c r="K89" s="3" t="s">
        <v>826</v>
      </c>
    </row>
    <row r="90" spans="1:11" ht="76" customHeight="1">
      <c r="A90" s="6" t="s">
        <v>110</v>
      </c>
      <c r="B90" s="3" t="s">
        <v>953</v>
      </c>
      <c r="C90" s="3" t="s">
        <v>199</v>
      </c>
      <c r="D90" s="7">
        <v>21</v>
      </c>
      <c r="E90" s="7">
        <v>100</v>
      </c>
      <c r="F90" s="3" t="s">
        <v>1009</v>
      </c>
      <c r="G90" s="3" t="s">
        <v>1010</v>
      </c>
      <c r="H90" s="3" t="s">
        <v>1006</v>
      </c>
      <c r="I90" s="3" t="s">
        <v>1007</v>
      </c>
      <c r="J90" s="3" t="s">
        <v>1008</v>
      </c>
      <c r="K90" s="3" t="s">
        <v>826</v>
      </c>
    </row>
    <row r="91" spans="1:11" ht="76" customHeight="1">
      <c r="A91" s="6" t="s">
        <v>110</v>
      </c>
      <c r="B91" s="3" t="s">
        <v>953</v>
      </c>
      <c r="C91" s="3" t="s">
        <v>202</v>
      </c>
      <c r="D91" s="7">
        <v>101</v>
      </c>
      <c r="E91" s="7">
        <v>1000</v>
      </c>
      <c r="F91" s="3" t="s">
        <v>1011</v>
      </c>
      <c r="G91" s="3" t="s">
        <v>1012</v>
      </c>
      <c r="H91" s="3" t="s">
        <v>1013</v>
      </c>
      <c r="I91" s="3" t="s">
        <v>1007</v>
      </c>
      <c r="J91" s="3" t="s">
        <v>1008</v>
      </c>
      <c r="K91" s="3" t="s">
        <v>826</v>
      </c>
    </row>
    <row r="92" spans="1:11" ht="76" customHeight="1">
      <c r="A92" s="6" t="s">
        <v>110</v>
      </c>
      <c r="B92" s="3" t="s">
        <v>953</v>
      </c>
      <c r="C92" s="3" t="s">
        <v>205</v>
      </c>
      <c r="D92" s="7">
        <v>1001</v>
      </c>
      <c r="E92" s="7">
        <v>10000</v>
      </c>
      <c r="F92" s="3" t="s">
        <v>801</v>
      </c>
      <c r="G92" s="3" t="s">
        <v>1014</v>
      </c>
      <c r="H92" s="3" t="s">
        <v>1015</v>
      </c>
      <c r="I92" s="3" t="s">
        <v>1007</v>
      </c>
      <c r="J92" s="3" t="s">
        <v>1008</v>
      </c>
      <c r="K92" s="3" t="s">
        <v>826</v>
      </c>
    </row>
    <row r="93" spans="1:11" ht="76" customHeight="1">
      <c r="A93" s="6" t="s">
        <v>110</v>
      </c>
      <c r="B93" s="3" t="s">
        <v>953</v>
      </c>
      <c r="C93" s="3" t="s">
        <v>208</v>
      </c>
      <c r="D93" s="7">
        <v>10001</v>
      </c>
      <c r="E93" s="7">
        <v>100000</v>
      </c>
      <c r="F93" s="3" t="s">
        <v>1016</v>
      </c>
      <c r="G93" s="3" t="s">
        <v>1017</v>
      </c>
      <c r="H93" s="3" t="s">
        <v>1018</v>
      </c>
      <c r="I93" s="3" t="s">
        <v>1007</v>
      </c>
      <c r="J93" s="3" t="s">
        <v>1008</v>
      </c>
      <c r="K93" s="3" t="s">
        <v>826</v>
      </c>
    </row>
    <row r="94" spans="1:11" ht="76" customHeight="1">
      <c r="A94" s="6" t="s">
        <v>110</v>
      </c>
      <c r="B94" s="3" t="s">
        <v>953</v>
      </c>
      <c r="C94" s="3" t="s">
        <v>211</v>
      </c>
      <c r="D94" s="7">
        <v>100001</v>
      </c>
      <c r="E94" s="7"/>
      <c r="F94" s="3" t="s">
        <v>1019</v>
      </c>
      <c r="G94" s="3" t="s">
        <v>1020</v>
      </c>
      <c r="H94" s="3" t="s">
        <v>1021</v>
      </c>
      <c r="I94" s="3" t="s">
        <v>1007</v>
      </c>
      <c r="J94" s="3" t="s">
        <v>1008</v>
      </c>
      <c r="K94" s="3" t="s">
        <v>826</v>
      </c>
    </row>
    <row r="95" spans="1:11" ht="76" customHeight="1">
      <c r="A95" s="6" t="s">
        <v>115</v>
      </c>
      <c r="B95" s="3" t="s">
        <v>1022</v>
      </c>
      <c r="C95" s="3" t="s">
        <v>187</v>
      </c>
      <c r="D95" s="7">
        <v>1</v>
      </c>
      <c r="E95" s="7">
        <v>20</v>
      </c>
      <c r="F95" s="3" t="s">
        <v>1023</v>
      </c>
      <c r="G95" s="3" t="s">
        <v>955</v>
      </c>
      <c r="H95" s="3" t="s">
        <v>783</v>
      </c>
      <c r="I95" s="3" t="s">
        <v>1024</v>
      </c>
      <c r="J95" s="3" t="s">
        <v>1025</v>
      </c>
      <c r="K95" s="3" t="s">
        <v>786</v>
      </c>
    </row>
    <row r="96" spans="1:11" ht="76" customHeight="1">
      <c r="A96" s="6" t="s">
        <v>115</v>
      </c>
      <c r="B96" s="3" t="s">
        <v>1022</v>
      </c>
      <c r="C96" s="3" t="s">
        <v>199</v>
      </c>
      <c r="D96" s="7">
        <v>21</v>
      </c>
      <c r="E96" s="7">
        <v>100</v>
      </c>
      <c r="F96" s="3" t="s">
        <v>1026</v>
      </c>
      <c r="G96" s="3" t="s">
        <v>955</v>
      </c>
      <c r="H96" s="3" t="s">
        <v>783</v>
      </c>
      <c r="I96" s="3" t="s">
        <v>1024</v>
      </c>
      <c r="J96" s="3" t="s">
        <v>1025</v>
      </c>
      <c r="K96" s="3" t="s">
        <v>786</v>
      </c>
    </row>
    <row r="97" spans="1:11" ht="76" customHeight="1">
      <c r="A97" s="6" t="s">
        <v>115</v>
      </c>
      <c r="B97" s="3" t="s">
        <v>1022</v>
      </c>
      <c r="C97" s="3" t="s">
        <v>202</v>
      </c>
      <c r="D97" s="7">
        <v>101</v>
      </c>
      <c r="E97" s="7">
        <v>1000</v>
      </c>
      <c r="F97" s="3" t="s">
        <v>1027</v>
      </c>
      <c r="G97" s="3" t="s">
        <v>1028</v>
      </c>
      <c r="H97" s="3" t="s">
        <v>783</v>
      </c>
      <c r="I97" s="3" t="s">
        <v>1024</v>
      </c>
      <c r="J97" s="3" t="s">
        <v>1025</v>
      </c>
      <c r="K97" s="3" t="s">
        <v>786</v>
      </c>
    </row>
    <row r="98" spans="1:11" ht="76" customHeight="1">
      <c r="A98" s="6" t="s">
        <v>115</v>
      </c>
      <c r="B98" s="3" t="s">
        <v>1022</v>
      </c>
      <c r="C98" s="3" t="s">
        <v>205</v>
      </c>
      <c r="D98" s="7">
        <v>1001</v>
      </c>
      <c r="E98" s="7">
        <v>10000</v>
      </c>
      <c r="F98" s="3" t="s">
        <v>1029</v>
      </c>
      <c r="G98" s="3" t="s">
        <v>1030</v>
      </c>
      <c r="H98" s="3" t="s">
        <v>783</v>
      </c>
      <c r="I98" s="3" t="s">
        <v>1024</v>
      </c>
      <c r="J98" s="3" t="s">
        <v>1025</v>
      </c>
      <c r="K98" s="3" t="s">
        <v>786</v>
      </c>
    </row>
    <row r="99" spans="1:11" ht="76" customHeight="1">
      <c r="A99" s="6" t="s">
        <v>115</v>
      </c>
      <c r="B99" s="3" t="s">
        <v>1022</v>
      </c>
      <c r="C99" s="3" t="s">
        <v>208</v>
      </c>
      <c r="D99" s="7">
        <v>10001</v>
      </c>
      <c r="E99" s="7">
        <v>100000</v>
      </c>
      <c r="F99" s="3" t="s">
        <v>1031</v>
      </c>
      <c r="G99" s="3" t="s">
        <v>1032</v>
      </c>
      <c r="H99" s="3" t="s">
        <v>783</v>
      </c>
      <c r="I99" s="3" t="s">
        <v>1024</v>
      </c>
      <c r="J99" s="3" t="s">
        <v>1025</v>
      </c>
      <c r="K99" s="3" t="s">
        <v>786</v>
      </c>
    </row>
    <row r="100" spans="1:11" ht="76" customHeight="1">
      <c r="A100" s="6" t="s">
        <v>115</v>
      </c>
      <c r="B100" s="3" t="s">
        <v>1022</v>
      </c>
      <c r="C100" s="3" t="s">
        <v>211</v>
      </c>
      <c r="D100" s="7">
        <v>100001</v>
      </c>
      <c r="E100" s="7"/>
      <c r="F100" s="3" t="s">
        <v>1033</v>
      </c>
      <c r="G100" s="3" t="s">
        <v>1034</v>
      </c>
      <c r="H100" s="3" t="s">
        <v>1035</v>
      </c>
      <c r="I100" s="3" t="s">
        <v>1024</v>
      </c>
      <c r="J100" s="3" t="s">
        <v>1025</v>
      </c>
      <c r="K100" s="3" t="s">
        <v>786</v>
      </c>
    </row>
    <row r="101" spans="1:11" ht="76" customHeight="1">
      <c r="A101" s="6" t="s">
        <v>121</v>
      </c>
      <c r="B101" s="3" t="s">
        <v>1022</v>
      </c>
      <c r="C101" s="3" t="s">
        <v>187</v>
      </c>
      <c r="D101" s="7">
        <v>1</v>
      </c>
      <c r="E101" s="7">
        <v>20</v>
      </c>
      <c r="F101" s="3" t="s">
        <v>1036</v>
      </c>
      <c r="G101" s="3" t="s">
        <v>1037</v>
      </c>
      <c r="H101" s="3" t="s">
        <v>1038</v>
      </c>
      <c r="I101" s="3" t="s">
        <v>1039</v>
      </c>
      <c r="J101" s="3" t="s">
        <v>1040</v>
      </c>
      <c r="K101" s="3" t="s">
        <v>1041</v>
      </c>
    </row>
    <row r="102" spans="1:11" ht="76" customHeight="1">
      <c r="A102" s="6" t="s">
        <v>121</v>
      </c>
      <c r="B102" s="3" t="s">
        <v>1022</v>
      </c>
      <c r="C102" s="3" t="s">
        <v>199</v>
      </c>
      <c r="D102" s="7">
        <v>21</v>
      </c>
      <c r="E102" s="7">
        <v>100</v>
      </c>
      <c r="F102" s="3" t="s">
        <v>1036</v>
      </c>
      <c r="G102" s="3" t="s">
        <v>1037</v>
      </c>
      <c r="H102" s="3" t="s">
        <v>1038</v>
      </c>
      <c r="I102" s="3" t="s">
        <v>1039</v>
      </c>
      <c r="J102" s="3" t="s">
        <v>1040</v>
      </c>
      <c r="K102" s="3" t="s">
        <v>1041</v>
      </c>
    </row>
    <row r="103" spans="1:11" ht="76" customHeight="1">
      <c r="A103" s="6" t="s">
        <v>121</v>
      </c>
      <c r="B103" s="3" t="s">
        <v>1022</v>
      </c>
      <c r="C103" s="3" t="s">
        <v>202</v>
      </c>
      <c r="D103" s="7">
        <v>101</v>
      </c>
      <c r="E103" s="7">
        <v>1000</v>
      </c>
      <c r="F103" s="3" t="s">
        <v>1042</v>
      </c>
      <c r="G103" s="3" t="s">
        <v>1043</v>
      </c>
      <c r="H103" s="3" t="s">
        <v>1038</v>
      </c>
      <c r="I103" s="3" t="s">
        <v>1039</v>
      </c>
      <c r="J103" s="3" t="s">
        <v>1040</v>
      </c>
      <c r="K103" s="3" t="s">
        <v>1041</v>
      </c>
    </row>
    <row r="104" spans="1:11" ht="76" customHeight="1">
      <c r="A104" s="6" t="s">
        <v>121</v>
      </c>
      <c r="B104" s="3" t="s">
        <v>1022</v>
      </c>
      <c r="C104" s="3" t="s">
        <v>205</v>
      </c>
      <c r="D104" s="7">
        <v>1001</v>
      </c>
      <c r="E104" s="7">
        <v>10000</v>
      </c>
      <c r="F104" s="3" t="s">
        <v>1042</v>
      </c>
      <c r="G104" s="3" t="s">
        <v>1044</v>
      </c>
      <c r="H104" s="3" t="s">
        <v>1038</v>
      </c>
      <c r="I104" s="3" t="s">
        <v>1039</v>
      </c>
      <c r="J104" s="3" t="s">
        <v>1040</v>
      </c>
      <c r="K104" s="3" t="s">
        <v>1041</v>
      </c>
    </row>
    <row r="105" spans="1:11" ht="76" customHeight="1">
      <c r="A105" s="6" t="s">
        <v>121</v>
      </c>
      <c r="B105" s="3" t="s">
        <v>1022</v>
      </c>
      <c r="C105" s="3" t="s">
        <v>208</v>
      </c>
      <c r="D105" s="7">
        <v>10001</v>
      </c>
      <c r="E105" s="7">
        <v>100000</v>
      </c>
      <c r="F105" s="3" t="s">
        <v>791</v>
      </c>
      <c r="G105" s="3" t="s">
        <v>1045</v>
      </c>
      <c r="H105" s="3" t="s">
        <v>1038</v>
      </c>
      <c r="I105" s="3" t="s">
        <v>1039</v>
      </c>
      <c r="J105" s="3" t="s">
        <v>1040</v>
      </c>
      <c r="K105" s="3" t="s">
        <v>1041</v>
      </c>
    </row>
    <row r="106" spans="1:11" ht="76" customHeight="1">
      <c r="A106" s="6" t="s">
        <v>121</v>
      </c>
      <c r="B106" s="3" t="s">
        <v>1022</v>
      </c>
      <c r="C106" s="3" t="s">
        <v>211</v>
      </c>
      <c r="D106" s="7">
        <v>100001</v>
      </c>
      <c r="E106" s="7"/>
      <c r="F106" s="3" t="s">
        <v>1046</v>
      </c>
      <c r="G106" s="3" t="s">
        <v>1047</v>
      </c>
      <c r="H106" s="3" t="s">
        <v>1048</v>
      </c>
      <c r="I106" s="3" t="s">
        <v>1039</v>
      </c>
      <c r="J106" s="3" t="s">
        <v>1040</v>
      </c>
      <c r="K106" s="3" t="s">
        <v>1041</v>
      </c>
    </row>
    <row r="107" spans="1:11" ht="76" customHeight="1">
      <c r="A107" s="6" t="s">
        <v>130</v>
      </c>
      <c r="B107" s="3" t="s">
        <v>1022</v>
      </c>
      <c r="C107" s="3" t="s">
        <v>187</v>
      </c>
      <c r="D107" s="7">
        <v>1</v>
      </c>
      <c r="E107" s="7">
        <v>20</v>
      </c>
      <c r="F107" s="3" t="s">
        <v>1049</v>
      </c>
      <c r="G107" s="3" t="s">
        <v>1050</v>
      </c>
      <c r="H107" s="3" t="s">
        <v>1051</v>
      </c>
      <c r="I107" s="3" t="s">
        <v>1052</v>
      </c>
      <c r="J107" s="3" t="s">
        <v>1053</v>
      </c>
      <c r="K107" s="3" t="s">
        <v>786</v>
      </c>
    </row>
    <row r="108" spans="1:11" ht="76" customHeight="1">
      <c r="A108" s="6" t="s">
        <v>130</v>
      </c>
      <c r="B108" s="3" t="s">
        <v>1022</v>
      </c>
      <c r="C108" s="3" t="s">
        <v>199</v>
      </c>
      <c r="D108" s="7">
        <v>21</v>
      </c>
      <c r="E108" s="7">
        <v>100</v>
      </c>
      <c r="F108" s="3" t="s">
        <v>1054</v>
      </c>
      <c r="G108" s="3" t="s">
        <v>955</v>
      </c>
      <c r="H108" s="3" t="s">
        <v>1051</v>
      </c>
      <c r="I108" s="3" t="s">
        <v>1052</v>
      </c>
      <c r="J108" s="3" t="s">
        <v>1053</v>
      </c>
      <c r="K108" s="3" t="s">
        <v>786</v>
      </c>
    </row>
    <row r="109" spans="1:11" ht="76" customHeight="1">
      <c r="A109" s="6" t="s">
        <v>130</v>
      </c>
      <c r="B109" s="3" t="s">
        <v>1022</v>
      </c>
      <c r="C109" s="3" t="s">
        <v>202</v>
      </c>
      <c r="D109" s="7">
        <v>101</v>
      </c>
      <c r="E109" s="7">
        <v>1000</v>
      </c>
      <c r="F109" s="3" t="s">
        <v>1055</v>
      </c>
      <c r="G109" s="3" t="s">
        <v>1056</v>
      </c>
      <c r="H109" s="3" t="s">
        <v>1057</v>
      </c>
      <c r="I109" s="3" t="s">
        <v>1052</v>
      </c>
      <c r="J109" s="3" t="s">
        <v>1053</v>
      </c>
      <c r="K109" s="3" t="s">
        <v>786</v>
      </c>
    </row>
    <row r="110" spans="1:11" ht="76" customHeight="1">
      <c r="A110" s="6" t="s">
        <v>130</v>
      </c>
      <c r="B110" s="3" t="s">
        <v>1022</v>
      </c>
      <c r="C110" s="3" t="s">
        <v>205</v>
      </c>
      <c r="D110" s="7">
        <v>1001</v>
      </c>
      <c r="E110" s="7">
        <v>10000</v>
      </c>
      <c r="F110" s="3" t="s">
        <v>1058</v>
      </c>
      <c r="G110" s="3" t="s">
        <v>1059</v>
      </c>
      <c r="H110" s="3" t="s">
        <v>1057</v>
      </c>
      <c r="I110" s="3" t="s">
        <v>1052</v>
      </c>
      <c r="J110" s="3" t="s">
        <v>1053</v>
      </c>
      <c r="K110" s="3" t="s">
        <v>786</v>
      </c>
    </row>
    <row r="111" spans="1:11" ht="76" customHeight="1">
      <c r="A111" s="6" t="s">
        <v>130</v>
      </c>
      <c r="B111" s="3" t="s">
        <v>1022</v>
      </c>
      <c r="C111" s="3" t="s">
        <v>208</v>
      </c>
      <c r="D111" s="7">
        <v>10001</v>
      </c>
      <c r="E111" s="7">
        <v>100000</v>
      </c>
      <c r="F111" s="3" t="s">
        <v>1060</v>
      </c>
      <c r="G111" s="3" t="s">
        <v>1032</v>
      </c>
      <c r="H111" s="3" t="s">
        <v>1057</v>
      </c>
      <c r="I111" s="3" t="s">
        <v>1052</v>
      </c>
      <c r="J111" s="3" t="s">
        <v>1053</v>
      </c>
      <c r="K111" s="3" t="s">
        <v>786</v>
      </c>
    </row>
    <row r="112" spans="1:11" ht="76" customHeight="1">
      <c r="A112" s="6" t="s">
        <v>130</v>
      </c>
      <c r="B112" s="3" t="s">
        <v>1022</v>
      </c>
      <c r="C112" s="3" t="s">
        <v>211</v>
      </c>
      <c r="D112" s="7">
        <v>100001</v>
      </c>
      <c r="E112" s="7"/>
      <c r="F112" s="3" t="s">
        <v>1061</v>
      </c>
      <c r="G112" s="3" t="s">
        <v>1062</v>
      </c>
      <c r="H112" s="3" t="s">
        <v>1063</v>
      </c>
      <c r="I112" s="3" t="s">
        <v>1052</v>
      </c>
      <c r="J112" s="3" t="s">
        <v>1053</v>
      </c>
      <c r="K112" s="3" t="s">
        <v>786</v>
      </c>
    </row>
    <row r="113" spans="1:11" ht="76" customHeight="1">
      <c r="A113" s="6" t="s">
        <v>139</v>
      </c>
      <c r="B113" s="3" t="s">
        <v>1022</v>
      </c>
      <c r="C113" s="3" t="s">
        <v>187</v>
      </c>
      <c r="D113" s="7">
        <v>1</v>
      </c>
      <c r="E113" s="7">
        <v>20</v>
      </c>
      <c r="F113" s="3" t="s">
        <v>1064</v>
      </c>
      <c r="G113" s="3" t="s">
        <v>1065</v>
      </c>
      <c r="H113" s="3" t="s">
        <v>1066</v>
      </c>
      <c r="I113" s="3" t="s">
        <v>1067</v>
      </c>
      <c r="J113" s="3" t="s">
        <v>1068</v>
      </c>
      <c r="K113" s="3" t="s">
        <v>826</v>
      </c>
    </row>
    <row r="114" spans="1:11" ht="76" customHeight="1">
      <c r="A114" s="6" t="s">
        <v>139</v>
      </c>
      <c r="B114" s="3" t="s">
        <v>1022</v>
      </c>
      <c r="C114" s="3" t="s">
        <v>199</v>
      </c>
      <c r="D114" s="7">
        <v>21</v>
      </c>
      <c r="E114" s="7">
        <v>100</v>
      </c>
      <c r="F114" s="3" t="s">
        <v>1069</v>
      </c>
      <c r="G114" s="3" t="s">
        <v>1065</v>
      </c>
      <c r="H114" s="3" t="s">
        <v>1066</v>
      </c>
      <c r="I114" s="3" t="s">
        <v>1067</v>
      </c>
      <c r="J114" s="3" t="s">
        <v>1068</v>
      </c>
      <c r="K114" s="3" t="s">
        <v>826</v>
      </c>
    </row>
    <row r="115" spans="1:11" ht="76" customHeight="1">
      <c r="A115" s="6" t="s">
        <v>139</v>
      </c>
      <c r="B115" s="3" t="s">
        <v>1022</v>
      </c>
      <c r="C115" s="3" t="s">
        <v>202</v>
      </c>
      <c r="D115" s="7">
        <v>101</v>
      </c>
      <c r="E115" s="7">
        <v>1000</v>
      </c>
      <c r="F115" s="3" t="s">
        <v>1070</v>
      </c>
      <c r="G115" s="3" t="s">
        <v>1065</v>
      </c>
      <c r="H115" s="3" t="s">
        <v>1071</v>
      </c>
      <c r="I115" s="3" t="s">
        <v>1067</v>
      </c>
      <c r="J115" s="3" t="s">
        <v>1068</v>
      </c>
      <c r="K115" s="3" t="s">
        <v>826</v>
      </c>
    </row>
    <row r="116" spans="1:11" ht="76" customHeight="1">
      <c r="A116" s="6" t="s">
        <v>139</v>
      </c>
      <c r="B116" s="3" t="s">
        <v>1022</v>
      </c>
      <c r="C116" s="3" t="s">
        <v>205</v>
      </c>
      <c r="D116" s="7">
        <v>1001</v>
      </c>
      <c r="E116" s="7">
        <v>10000</v>
      </c>
      <c r="F116" s="3" t="s">
        <v>1072</v>
      </c>
      <c r="G116" s="3" t="s">
        <v>1073</v>
      </c>
      <c r="H116" s="3" t="s">
        <v>1051</v>
      </c>
      <c r="I116" s="3" t="s">
        <v>1067</v>
      </c>
      <c r="J116" s="3" t="s">
        <v>1068</v>
      </c>
      <c r="K116" s="3" t="s">
        <v>826</v>
      </c>
    </row>
    <row r="117" spans="1:11" ht="76" customHeight="1">
      <c r="A117" s="6" t="s">
        <v>139</v>
      </c>
      <c r="B117" s="3" t="s">
        <v>1022</v>
      </c>
      <c r="C117" s="3" t="s">
        <v>208</v>
      </c>
      <c r="D117" s="7">
        <v>10001</v>
      </c>
      <c r="E117" s="7">
        <v>100000</v>
      </c>
      <c r="F117" s="3" t="s">
        <v>1074</v>
      </c>
      <c r="G117" s="3" t="s">
        <v>1075</v>
      </c>
      <c r="H117" s="3" t="s">
        <v>1051</v>
      </c>
      <c r="I117" s="3" t="s">
        <v>1067</v>
      </c>
      <c r="J117" s="3" t="s">
        <v>1068</v>
      </c>
      <c r="K117" s="3" t="s">
        <v>826</v>
      </c>
    </row>
    <row r="118" spans="1:11" ht="76" customHeight="1">
      <c r="A118" s="6" t="s">
        <v>139</v>
      </c>
      <c r="B118" s="3" t="s">
        <v>1022</v>
      </c>
      <c r="C118" s="3" t="s">
        <v>211</v>
      </c>
      <c r="D118" s="7">
        <v>100001</v>
      </c>
      <c r="E118" s="7"/>
      <c r="F118" s="3" t="s">
        <v>1076</v>
      </c>
      <c r="G118" s="3" t="s">
        <v>1075</v>
      </c>
      <c r="H118" s="3" t="s">
        <v>1051</v>
      </c>
      <c r="I118" s="3" t="s">
        <v>1067</v>
      </c>
      <c r="J118" s="3" t="s">
        <v>1068</v>
      </c>
      <c r="K118" s="3" t="s">
        <v>826</v>
      </c>
    </row>
    <row r="119" spans="1:11" ht="76" customHeight="1">
      <c r="A119" s="6" t="s">
        <v>145</v>
      </c>
      <c r="B119" s="3" t="s">
        <v>1022</v>
      </c>
      <c r="C119" s="3" t="s">
        <v>187</v>
      </c>
      <c r="D119" s="7">
        <v>1</v>
      </c>
      <c r="E119" s="7">
        <v>20</v>
      </c>
      <c r="F119" s="3" t="s">
        <v>1077</v>
      </c>
      <c r="G119" s="3" t="s">
        <v>1078</v>
      </c>
      <c r="H119" s="3" t="s">
        <v>1079</v>
      </c>
      <c r="I119" s="3" t="s">
        <v>1080</v>
      </c>
      <c r="J119" s="3" t="s">
        <v>1081</v>
      </c>
      <c r="K119" s="3" t="s">
        <v>826</v>
      </c>
    </row>
    <row r="120" spans="1:11" ht="76" customHeight="1">
      <c r="A120" s="6" t="s">
        <v>145</v>
      </c>
      <c r="B120" s="3" t="s">
        <v>1022</v>
      </c>
      <c r="C120" s="3" t="s">
        <v>199</v>
      </c>
      <c r="D120" s="7">
        <v>21</v>
      </c>
      <c r="E120" s="7">
        <v>100</v>
      </c>
      <c r="F120" s="3" t="s">
        <v>1077</v>
      </c>
      <c r="G120" s="3" t="s">
        <v>1082</v>
      </c>
      <c r="H120" s="3" t="s">
        <v>1079</v>
      </c>
      <c r="I120" s="3" t="s">
        <v>1080</v>
      </c>
      <c r="J120" s="3" t="s">
        <v>1081</v>
      </c>
      <c r="K120" s="3" t="s">
        <v>826</v>
      </c>
    </row>
    <row r="121" spans="1:11" ht="76" customHeight="1">
      <c r="A121" s="6" t="s">
        <v>145</v>
      </c>
      <c r="B121" s="3" t="s">
        <v>1022</v>
      </c>
      <c r="C121" s="3" t="s">
        <v>202</v>
      </c>
      <c r="D121" s="7">
        <v>101</v>
      </c>
      <c r="E121" s="7">
        <v>1000</v>
      </c>
      <c r="F121" s="3" t="s">
        <v>1083</v>
      </c>
      <c r="G121" s="3" t="s">
        <v>1084</v>
      </c>
      <c r="H121" s="3" t="s">
        <v>1079</v>
      </c>
      <c r="I121" s="3" t="s">
        <v>1080</v>
      </c>
      <c r="J121" s="3" t="s">
        <v>1081</v>
      </c>
      <c r="K121" s="3" t="s">
        <v>826</v>
      </c>
    </row>
    <row r="122" spans="1:11" ht="76" customHeight="1">
      <c r="A122" s="6" t="s">
        <v>145</v>
      </c>
      <c r="B122" s="3" t="s">
        <v>1022</v>
      </c>
      <c r="C122" s="3" t="s">
        <v>205</v>
      </c>
      <c r="D122" s="7">
        <v>1001</v>
      </c>
      <c r="E122" s="7">
        <v>10000</v>
      </c>
      <c r="F122" s="3" t="s">
        <v>1085</v>
      </c>
      <c r="G122" s="3" t="s">
        <v>1086</v>
      </c>
      <c r="H122" s="3" t="s">
        <v>1087</v>
      </c>
      <c r="I122" s="3" t="s">
        <v>1080</v>
      </c>
      <c r="J122" s="3" t="s">
        <v>1081</v>
      </c>
      <c r="K122" s="3" t="s">
        <v>826</v>
      </c>
    </row>
    <row r="123" spans="1:11" ht="76" customHeight="1">
      <c r="A123" s="6" t="s">
        <v>145</v>
      </c>
      <c r="B123" s="3" t="s">
        <v>1022</v>
      </c>
      <c r="C123" s="3" t="s">
        <v>208</v>
      </c>
      <c r="D123" s="7">
        <v>10001</v>
      </c>
      <c r="E123" s="7">
        <v>100000</v>
      </c>
      <c r="F123" s="3" t="s">
        <v>1088</v>
      </c>
      <c r="G123" s="3" t="s">
        <v>1089</v>
      </c>
      <c r="H123" s="3" t="s">
        <v>1090</v>
      </c>
      <c r="I123" s="3" t="s">
        <v>1080</v>
      </c>
      <c r="J123" s="3" t="s">
        <v>1081</v>
      </c>
      <c r="K123" s="3" t="s">
        <v>826</v>
      </c>
    </row>
    <row r="124" spans="1:11" ht="76" customHeight="1">
      <c r="A124" s="6" t="s">
        <v>145</v>
      </c>
      <c r="B124" s="3" t="s">
        <v>1022</v>
      </c>
      <c r="C124" s="3" t="s">
        <v>211</v>
      </c>
      <c r="D124" s="7">
        <v>100001</v>
      </c>
      <c r="E124" s="7"/>
      <c r="F124" s="3" t="s">
        <v>1091</v>
      </c>
      <c r="G124" s="3" t="s">
        <v>1092</v>
      </c>
      <c r="H124" s="3" t="s">
        <v>1093</v>
      </c>
      <c r="I124" s="3" t="s">
        <v>1080</v>
      </c>
      <c r="J124" s="3" t="s">
        <v>1081</v>
      </c>
      <c r="K124" s="3" t="s">
        <v>826</v>
      </c>
    </row>
    <row r="125" spans="1:11" ht="76" customHeight="1">
      <c r="A125" s="6" t="s">
        <v>153</v>
      </c>
      <c r="B125" s="3" t="s">
        <v>1022</v>
      </c>
      <c r="C125" s="3" t="s">
        <v>187</v>
      </c>
      <c r="D125" s="7">
        <v>1</v>
      </c>
      <c r="E125" s="7">
        <v>20</v>
      </c>
      <c r="F125" s="3" t="s">
        <v>1094</v>
      </c>
      <c r="G125" s="3" t="s">
        <v>1095</v>
      </c>
      <c r="H125" s="3" t="s">
        <v>1096</v>
      </c>
      <c r="I125" s="3" t="s">
        <v>1097</v>
      </c>
      <c r="J125" s="3" t="s">
        <v>1098</v>
      </c>
      <c r="K125" s="3" t="s">
        <v>826</v>
      </c>
    </row>
    <row r="126" spans="1:11" ht="76" customHeight="1">
      <c r="A126" s="6" t="s">
        <v>153</v>
      </c>
      <c r="B126" s="3" t="s">
        <v>1022</v>
      </c>
      <c r="C126" s="3" t="s">
        <v>199</v>
      </c>
      <c r="D126" s="7">
        <v>21</v>
      </c>
      <c r="E126" s="7">
        <v>100</v>
      </c>
      <c r="F126" s="3" t="s">
        <v>1099</v>
      </c>
      <c r="G126" s="3" t="s">
        <v>1100</v>
      </c>
      <c r="H126" s="3" t="s">
        <v>1101</v>
      </c>
      <c r="I126" s="3" t="s">
        <v>1097</v>
      </c>
      <c r="J126" s="3" t="s">
        <v>1098</v>
      </c>
      <c r="K126" s="3" t="s">
        <v>826</v>
      </c>
    </row>
    <row r="127" spans="1:11" ht="76" customHeight="1">
      <c r="A127" s="6" t="s">
        <v>153</v>
      </c>
      <c r="B127" s="3" t="s">
        <v>1022</v>
      </c>
      <c r="C127" s="3" t="s">
        <v>202</v>
      </c>
      <c r="D127" s="7">
        <v>101</v>
      </c>
      <c r="E127" s="7">
        <v>1000</v>
      </c>
      <c r="F127" s="3" t="s">
        <v>1102</v>
      </c>
      <c r="G127" s="3" t="s">
        <v>1103</v>
      </c>
      <c r="H127" s="3" t="s">
        <v>1096</v>
      </c>
      <c r="I127" s="3" t="s">
        <v>1097</v>
      </c>
      <c r="J127" s="3" t="s">
        <v>1098</v>
      </c>
      <c r="K127" s="3" t="s">
        <v>826</v>
      </c>
    </row>
    <row r="128" spans="1:11" ht="76" customHeight="1">
      <c r="A128" s="6" t="s">
        <v>153</v>
      </c>
      <c r="B128" s="3" t="s">
        <v>1022</v>
      </c>
      <c r="C128" s="3" t="s">
        <v>205</v>
      </c>
      <c r="D128" s="7">
        <v>1001</v>
      </c>
      <c r="E128" s="7">
        <v>10000</v>
      </c>
      <c r="F128" s="3" t="s">
        <v>1104</v>
      </c>
      <c r="G128" s="3" t="s">
        <v>1105</v>
      </c>
      <c r="H128" s="3" t="s">
        <v>1106</v>
      </c>
      <c r="I128" s="3" t="s">
        <v>1097</v>
      </c>
      <c r="J128" s="3" t="s">
        <v>1098</v>
      </c>
      <c r="K128" s="3" t="s">
        <v>826</v>
      </c>
    </row>
    <row r="129" spans="1:11" ht="76" customHeight="1">
      <c r="A129" s="6" t="s">
        <v>153</v>
      </c>
      <c r="B129" s="3" t="s">
        <v>1022</v>
      </c>
      <c r="C129" s="3" t="s">
        <v>208</v>
      </c>
      <c r="D129" s="7">
        <v>10001</v>
      </c>
      <c r="E129" s="7">
        <v>100000</v>
      </c>
      <c r="F129" s="3" t="s">
        <v>1107</v>
      </c>
      <c r="G129" s="3" t="s">
        <v>1108</v>
      </c>
      <c r="H129" s="3" t="s">
        <v>1093</v>
      </c>
      <c r="I129" s="3" t="s">
        <v>1097</v>
      </c>
      <c r="J129" s="3" t="s">
        <v>1098</v>
      </c>
      <c r="K129" s="3" t="s">
        <v>826</v>
      </c>
    </row>
    <row r="130" spans="1:11" ht="76" customHeight="1">
      <c r="A130" s="6" t="s">
        <v>153</v>
      </c>
      <c r="B130" s="3" t="s">
        <v>1022</v>
      </c>
      <c r="C130" s="3" t="s">
        <v>211</v>
      </c>
      <c r="D130" s="7">
        <v>100001</v>
      </c>
      <c r="E130" s="7"/>
      <c r="F130" s="3" t="s">
        <v>1109</v>
      </c>
      <c r="G130" s="3" t="s">
        <v>1110</v>
      </c>
      <c r="H130" s="3" t="s">
        <v>1111</v>
      </c>
      <c r="I130" s="3" t="s">
        <v>1097</v>
      </c>
      <c r="J130" s="3" t="s">
        <v>1098</v>
      </c>
      <c r="K130" s="3" t="s">
        <v>826</v>
      </c>
    </row>
  </sheetData>
  <pageMargins left="0.7" right="0.7" top="0.75" bottom="0.75" header="0.3" footer="0.3"/>
  <headerFooter>
    <oddHeader>&amp;R&amp;"Aptos"&amp;14&amp;K71BF44 RESTRICTED&amp;1#_x000D_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3899A"/>
  </sheetPr>
  <dimension ref="A1:D51"/>
  <sheetViews>
    <sheetView showGridLines="0" topLeftCell="A50" workbookViewId="0">
      <selection activeCell="A3" sqref="A3:XFD3"/>
    </sheetView>
  </sheetViews>
  <sheetFormatPr baseColWidth="10" defaultColWidth="8.6640625" defaultRowHeight="14"/>
  <cols>
    <col min="1" max="1" width="37.9140625" customWidth="1"/>
    <col min="2" max="2" width="59.08203125" customWidth="1"/>
    <col min="3" max="3" width="96.08203125" customWidth="1"/>
    <col min="4" max="4" width="56" customWidth="1"/>
  </cols>
  <sheetData>
    <row r="1" spans="1:4">
      <c r="A1" s="1"/>
      <c r="B1" s="1"/>
      <c r="C1" s="1"/>
      <c r="D1" s="1"/>
    </row>
    <row r="2" spans="1:4" ht="20">
      <c r="A2" s="2" t="s">
        <v>1112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 ht="42" customHeight="1">
      <c r="A5" s="4" t="s">
        <v>1113</v>
      </c>
      <c r="B5" s="4" t="s">
        <v>1114</v>
      </c>
      <c r="C5" s="4" t="s">
        <v>1115</v>
      </c>
      <c r="D5" s="3"/>
    </row>
    <row r="6" spans="1:4" ht="58" customHeight="1">
      <c r="A6" s="3" t="s">
        <v>189</v>
      </c>
      <c r="B6" s="3" t="s">
        <v>1116</v>
      </c>
      <c r="C6" s="3" t="s">
        <v>1117</v>
      </c>
      <c r="D6" s="3"/>
    </row>
    <row r="7" spans="1:4" ht="58" customHeight="1">
      <c r="A7" s="3" t="s">
        <v>245</v>
      </c>
      <c r="B7" s="3" t="s">
        <v>1118</v>
      </c>
      <c r="C7" s="3" t="s">
        <v>1119</v>
      </c>
      <c r="D7" s="3"/>
    </row>
    <row r="8" spans="1:4" ht="58" customHeight="1">
      <c r="A8" s="3" t="s">
        <v>1120</v>
      </c>
      <c r="B8" s="3" t="s">
        <v>1121</v>
      </c>
      <c r="C8" s="3" t="s">
        <v>1122</v>
      </c>
      <c r="D8" s="3"/>
    </row>
    <row r="9" spans="1:4" ht="58" customHeight="1">
      <c r="A9" s="3" t="s">
        <v>1123</v>
      </c>
      <c r="B9" s="3" t="s">
        <v>1124</v>
      </c>
      <c r="C9" s="3" t="s">
        <v>1125</v>
      </c>
      <c r="D9" s="3"/>
    </row>
    <row r="10" spans="1:4" ht="58" customHeight="1">
      <c r="A10" s="3" t="s">
        <v>1126</v>
      </c>
      <c r="B10" s="3" t="s">
        <v>1127</v>
      </c>
      <c r="C10" s="3" t="s">
        <v>1128</v>
      </c>
      <c r="D10" s="3"/>
    </row>
    <row r="11" spans="1:4" ht="58" customHeight="1">
      <c r="A11" s="3" t="s">
        <v>1129</v>
      </c>
      <c r="B11" s="3" t="s">
        <v>1130</v>
      </c>
      <c r="C11" s="3" t="s">
        <v>1131</v>
      </c>
      <c r="D11" s="3"/>
    </row>
    <row r="12" spans="1:4" ht="58" customHeight="1">
      <c r="A12" s="3" t="s">
        <v>1132</v>
      </c>
      <c r="B12" s="3" t="s">
        <v>1133</v>
      </c>
      <c r="C12" s="3" t="s">
        <v>1134</v>
      </c>
      <c r="D12" s="3"/>
    </row>
    <row r="13" spans="1:4" ht="58" customHeight="1">
      <c r="A13" s="3"/>
      <c r="B13" s="3"/>
      <c r="C13" s="3"/>
      <c r="D13" s="3"/>
    </row>
    <row r="14" spans="1:4" ht="58" customHeight="1">
      <c r="A14" s="3"/>
      <c r="B14" s="3"/>
      <c r="C14" s="3"/>
      <c r="D14" s="3"/>
    </row>
    <row r="15" spans="1:4" ht="42" customHeight="1">
      <c r="A15" s="4" t="s">
        <v>1135</v>
      </c>
      <c r="B15" s="4" t="s">
        <v>1136</v>
      </c>
      <c r="C15" s="4" t="s">
        <v>1137</v>
      </c>
      <c r="D15" s="3"/>
    </row>
    <row r="16" spans="1:4" ht="58" customHeight="1">
      <c r="A16" s="3" t="s">
        <v>1138</v>
      </c>
      <c r="B16" s="3" t="s">
        <v>1139</v>
      </c>
      <c r="C16" s="3" t="s">
        <v>1140</v>
      </c>
      <c r="D16" s="3"/>
    </row>
    <row r="17" spans="1:4" ht="58" customHeight="1">
      <c r="A17" s="3" t="s">
        <v>1141</v>
      </c>
      <c r="B17" s="3" t="s">
        <v>1142</v>
      </c>
      <c r="C17" s="3" t="s">
        <v>1143</v>
      </c>
      <c r="D17" s="3"/>
    </row>
    <row r="18" spans="1:4" ht="58" customHeight="1">
      <c r="A18" s="3" t="s">
        <v>1144</v>
      </c>
      <c r="B18" s="3" t="s">
        <v>1145</v>
      </c>
      <c r="C18" s="3" t="s">
        <v>1146</v>
      </c>
      <c r="D18" s="3"/>
    </row>
    <row r="19" spans="1:4" ht="58" customHeight="1">
      <c r="A19" s="3" t="s">
        <v>1147</v>
      </c>
      <c r="B19" s="3" t="s">
        <v>1148</v>
      </c>
      <c r="C19" s="3" t="s">
        <v>1149</v>
      </c>
      <c r="D19" s="3"/>
    </row>
    <row r="20" spans="1:4" ht="58" customHeight="1">
      <c r="A20" s="3" t="s">
        <v>1150</v>
      </c>
      <c r="B20" s="3" t="s">
        <v>1151</v>
      </c>
      <c r="C20" s="3" t="s">
        <v>1152</v>
      </c>
      <c r="D20" s="3"/>
    </row>
    <row r="21" spans="1:4" ht="58" customHeight="1">
      <c r="A21" s="3" t="s">
        <v>1153</v>
      </c>
      <c r="B21" s="3" t="s">
        <v>1154</v>
      </c>
      <c r="C21" s="3" t="s">
        <v>1155</v>
      </c>
      <c r="D21" s="3"/>
    </row>
    <row r="22" spans="1:4" ht="58" customHeight="1">
      <c r="A22" s="3" t="s">
        <v>1156</v>
      </c>
      <c r="B22" s="3" t="s">
        <v>1157</v>
      </c>
      <c r="C22" s="3" t="s">
        <v>1158</v>
      </c>
      <c r="D22" s="3"/>
    </row>
    <row r="23" spans="1:4" ht="58" customHeight="1">
      <c r="A23" s="3"/>
      <c r="B23" s="3"/>
      <c r="C23" s="3"/>
      <c r="D23" s="3"/>
    </row>
    <row r="24" spans="1:4" ht="58" customHeight="1">
      <c r="A24" s="3"/>
      <c r="B24" s="3"/>
      <c r="C24" s="3"/>
      <c r="D24" s="3"/>
    </row>
    <row r="25" spans="1:4" ht="42" customHeight="1">
      <c r="A25" s="4" t="s">
        <v>1159</v>
      </c>
      <c r="B25" s="4" t="s">
        <v>1160</v>
      </c>
      <c r="C25" s="4" t="s">
        <v>1161</v>
      </c>
      <c r="D25" s="4" t="s">
        <v>1162</v>
      </c>
    </row>
    <row r="26" spans="1:4" ht="58" customHeight="1">
      <c r="A26" s="3" t="s">
        <v>1163</v>
      </c>
      <c r="B26" s="10">
        <v>100</v>
      </c>
      <c r="C26" s="3" t="s">
        <v>1164</v>
      </c>
      <c r="D26" s="3" t="s">
        <v>1165</v>
      </c>
    </row>
    <row r="27" spans="1:4" ht="58" customHeight="1">
      <c r="A27" s="3" t="s">
        <v>173</v>
      </c>
      <c r="B27" s="11">
        <v>0.02</v>
      </c>
      <c r="C27" s="3" t="s">
        <v>1166</v>
      </c>
      <c r="D27" s="3" t="s">
        <v>1167</v>
      </c>
    </row>
    <row r="28" spans="1:4" ht="58" customHeight="1">
      <c r="A28" s="3" t="s">
        <v>1168</v>
      </c>
      <c r="B28" s="9">
        <f>B26*(1+B27)</f>
        <v>102</v>
      </c>
      <c r="C28" s="3" t="s">
        <v>1164</v>
      </c>
      <c r="D28" s="3" t="s">
        <v>1169</v>
      </c>
    </row>
    <row r="29" spans="1:4" ht="58" customHeight="1">
      <c r="A29" s="3" t="s">
        <v>1170</v>
      </c>
      <c r="B29" s="9">
        <f>B28/2</f>
        <v>51</v>
      </c>
      <c r="C29" s="3" t="s">
        <v>1164</v>
      </c>
      <c r="D29" s="3" t="s">
        <v>1171</v>
      </c>
    </row>
    <row r="30" spans="1:4" ht="58" customHeight="1">
      <c r="A30" s="3" t="s">
        <v>1172</v>
      </c>
      <c r="B30" s="10">
        <v>30</v>
      </c>
      <c r="C30" s="3" t="s">
        <v>1164</v>
      </c>
      <c r="D30" s="3" t="s">
        <v>1173</v>
      </c>
    </row>
    <row r="31" spans="1:4" ht="58" customHeight="1">
      <c r="A31" s="3" t="s">
        <v>1174</v>
      </c>
      <c r="B31" s="10">
        <v>30</v>
      </c>
      <c r="C31" s="3" t="s">
        <v>1164</v>
      </c>
      <c r="D31" s="3" t="s">
        <v>1173</v>
      </c>
    </row>
    <row r="32" spans="1:4" ht="58" customHeight="1">
      <c r="A32" s="3" t="s">
        <v>1175</v>
      </c>
      <c r="B32" s="10">
        <v>3</v>
      </c>
      <c r="C32" s="3" t="s">
        <v>1164</v>
      </c>
      <c r="D32" s="3" t="s">
        <v>1176</v>
      </c>
    </row>
    <row r="33" spans="1:4" ht="58" customHeight="1">
      <c r="A33" s="3" t="s">
        <v>1177</v>
      </c>
      <c r="B33" s="9">
        <f>ROUNDUP((B28+2*B30+2*B32)/5,0)*5</f>
        <v>170</v>
      </c>
      <c r="C33" s="3" t="s">
        <v>1164</v>
      </c>
      <c r="D33" s="3" t="s">
        <v>1178</v>
      </c>
    </row>
    <row r="34" spans="1:4" ht="58" customHeight="1">
      <c r="A34" s="3" t="s">
        <v>1179</v>
      </c>
      <c r="B34" s="9">
        <f>ROUNDUP((B29+B31+2*B32)/5,0)*5</f>
        <v>90</v>
      </c>
      <c r="C34" s="3" t="s">
        <v>1164</v>
      </c>
      <c r="D34" s="3" t="s">
        <v>1178</v>
      </c>
    </row>
    <row r="35" spans="1:4" ht="58" customHeight="1">
      <c r="A35" s="3" t="s">
        <v>1180</v>
      </c>
      <c r="B35" s="10">
        <v>2</v>
      </c>
      <c r="C35" s="3" t="s">
        <v>1181</v>
      </c>
      <c r="D35" s="3" t="s">
        <v>1182</v>
      </c>
    </row>
    <row r="36" spans="1:4" ht="58" customHeight="1">
      <c r="A36" s="3"/>
      <c r="B36" s="3"/>
      <c r="C36" s="3"/>
      <c r="D36" s="3"/>
    </row>
    <row r="37" spans="1:4" ht="58" customHeight="1">
      <c r="A37" s="3"/>
      <c r="B37" s="3"/>
      <c r="C37" s="3"/>
      <c r="D37" s="3"/>
    </row>
    <row r="38" spans="1:4" ht="42" customHeight="1">
      <c r="A38" s="4" t="s">
        <v>1183</v>
      </c>
      <c r="B38" s="4" t="s">
        <v>1184</v>
      </c>
      <c r="C38" s="4" t="s">
        <v>1185</v>
      </c>
      <c r="D38" s="3"/>
    </row>
    <row r="39" spans="1:4" ht="58" customHeight="1">
      <c r="A39" s="3" t="s">
        <v>1186</v>
      </c>
      <c r="B39" s="3" t="s">
        <v>1187</v>
      </c>
      <c r="C39" s="3" t="s">
        <v>1188</v>
      </c>
      <c r="D39" s="3"/>
    </row>
    <row r="40" spans="1:4" ht="58" customHeight="1">
      <c r="A40" s="3" t="s">
        <v>1189</v>
      </c>
      <c r="B40" s="3" t="s">
        <v>1190</v>
      </c>
      <c r="C40" s="3" t="s">
        <v>1191</v>
      </c>
      <c r="D40" s="3"/>
    </row>
    <row r="41" spans="1:4" ht="58" customHeight="1">
      <c r="A41" s="3" t="s">
        <v>1192</v>
      </c>
      <c r="B41" s="3" t="s">
        <v>1193</v>
      </c>
      <c r="C41" s="3" t="s">
        <v>1194</v>
      </c>
      <c r="D41" s="3"/>
    </row>
    <row r="42" spans="1:4" ht="58" customHeight="1">
      <c r="A42" s="3" t="s">
        <v>1195</v>
      </c>
      <c r="B42" s="3" t="s">
        <v>1196</v>
      </c>
      <c r="C42" s="3" t="s">
        <v>1197</v>
      </c>
      <c r="D42" s="3"/>
    </row>
    <row r="43" spans="1:4" ht="58" customHeight="1">
      <c r="A43" s="3" t="s">
        <v>1198</v>
      </c>
      <c r="B43" s="3" t="s">
        <v>1199</v>
      </c>
      <c r="C43" s="3" t="s">
        <v>1200</v>
      </c>
      <c r="D43" s="3"/>
    </row>
    <row r="44" spans="1:4" ht="58" customHeight="1">
      <c r="A44" s="3" t="s">
        <v>777</v>
      </c>
      <c r="B44" s="3" t="s">
        <v>1201</v>
      </c>
      <c r="C44" s="3" t="s">
        <v>1202</v>
      </c>
      <c r="D44" s="3"/>
    </row>
    <row r="45" spans="1:4" ht="58" customHeight="1">
      <c r="A45" s="3"/>
      <c r="B45" s="3"/>
      <c r="C45" s="3"/>
      <c r="D45" s="3"/>
    </row>
    <row r="46" spans="1:4" ht="58" customHeight="1">
      <c r="A46" s="3"/>
      <c r="B46" s="3"/>
      <c r="C46" s="3"/>
      <c r="D46" s="3"/>
    </row>
    <row r="47" spans="1:4" ht="42" customHeight="1">
      <c r="A47" s="4" t="s">
        <v>1203</v>
      </c>
      <c r="B47" s="4" t="s">
        <v>777</v>
      </c>
      <c r="C47" s="4" t="s">
        <v>1204</v>
      </c>
      <c r="D47" s="3"/>
    </row>
    <row r="48" spans="1:4" ht="58" customHeight="1">
      <c r="A48" s="3" t="s">
        <v>1205</v>
      </c>
      <c r="B48" s="3" t="s">
        <v>1206</v>
      </c>
      <c r="C48" s="3" t="s">
        <v>1207</v>
      </c>
      <c r="D48" s="3"/>
    </row>
    <row r="49" spans="1:4" ht="58" customHeight="1">
      <c r="A49" s="3" t="s">
        <v>1208</v>
      </c>
      <c r="B49" s="3" t="s">
        <v>1209</v>
      </c>
      <c r="C49" s="3" t="s">
        <v>1210</v>
      </c>
      <c r="D49" s="3"/>
    </row>
    <row r="50" spans="1:4" ht="58" customHeight="1">
      <c r="A50" s="3" t="s">
        <v>1211</v>
      </c>
      <c r="B50" s="3" t="s">
        <v>1212</v>
      </c>
      <c r="C50" s="3" t="s">
        <v>1213</v>
      </c>
      <c r="D50" s="3"/>
    </row>
    <row r="51" spans="1:4" ht="58" customHeight="1">
      <c r="A51" s="3" t="s">
        <v>1214</v>
      </c>
      <c r="B51" s="3" t="s">
        <v>1215</v>
      </c>
      <c r="C51" s="3" t="s">
        <v>1216</v>
      </c>
      <c r="D51" s="3"/>
    </row>
  </sheetData>
  <pageMargins left="0.7" right="0.7" top="0.75" bottom="0.75" header="0.3" footer="0.3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Reference summary</vt:lpstr>
      <vt:lpstr>Tool blocks</vt:lpstr>
      <vt:lpstr>Quantity grades</vt:lpstr>
      <vt:lpstr>Sizing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Stepanian</dc:creator>
  <cp:lastModifiedBy>STEPANIAN Artur</cp:lastModifiedBy>
  <dcterms:created xsi:type="dcterms:W3CDTF">2026-10-03T22:57:01Z</dcterms:created>
  <dcterms:modified xsi:type="dcterms:W3CDTF">2026-10-05T19:24:04Z</dcterms:modified>
</cp:coreProperties>
</file>